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" sheetId="1" state="visible" r:id="rId3"/>
    <sheet name="Assumptions" sheetId="2" state="visible" r:id="rId4"/>
    <sheet name="CalcInputs" sheetId="3" state="visible" r:id="rId5"/>
    <sheet name="CashFlows" sheetId="4" state="visible" r:id="rId6"/>
    <sheet name="Returns" sheetId="5" state="visible" r:id="rId7"/>
    <sheet name="Scenarios" sheetId="6" state="visible" r:id="rId8"/>
    <sheet name="Dashboar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<sst xmlns="http://schemas.openxmlformats.org/spreadsheetml/2006/main" count="237" uniqueCount="126">
  <si>
    <t xml:space="preserve">VietGreen V4 formula-driven project finance model</t>
  </si>
  <si>
    <t xml:space="preserve">Remote-only boundary</t>
  </si>
  <si>
    <t xml:space="preserve">GitHub Actions runner only</t>
  </si>
  <si>
    <t xml:space="preserve">Synthetic input class</t>
  </si>
  <si>
    <t xml:space="preserve">aggregate/synthetic; no private transaction evidence</t>
  </si>
  <si>
    <t xml:space="preserve">Formula QA</t>
  </si>
  <si>
    <t xml:space="preserve">pending remote reconciliation</t>
  </si>
  <si>
    <t xml:space="preserve">External evidence</t>
  </si>
  <si>
    <t xml:space="preserve">OPEN_EXTERNAL_GATE</t>
  </si>
  <si>
    <t xml:space="preserve">Model role</t>
  </si>
  <si>
    <t xml:space="preserve">V4 G4/G5 candidate; not bankability approval</t>
  </si>
  <si>
    <t xml:space="preserve">Assumption</t>
  </si>
  <si>
    <t xml:space="preserve">Value</t>
  </si>
  <si>
    <t xml:space="preserve">PROJECT_NPV_RATE</t>
  </si>
  <si>
    <t xml:space="preserve">EQUITY_NPV_RATE</t>
  </si>
  <si>
    <t xml:space="preserve">DEGRADATION_RATE</t>
  </si>
  <si>
    <t xml:space="preserve">PPA_ESCALATION</t>
  </si>
  <si>
    <t xml:space="preserve">ACTIVE_CASE_SWITCH</t>
  </si>
  <si>
    <t xml:space="preserve">NEGOTIATED_TERMS</t>
  </si>
  <si>
    <t xml:space="preserve">ACTIVE_SCENARIO_SWITCH</t>
  </si>
  <si>
    <t xml:space="preserve">BASE_SPONSOR</t>
  </si>
  <si>
    <t xml:space="preserve">WORKBOOK_STATUS</t>
  </si>
  <si>
    <t xml:space="preserve">FORMULA_DRIVEN_REMOTE_RECALC</t>
  </si>
  <si>
    <t xml:space="preserve">Case</t>
  </si>
  <si>
    <t xml:space="preserve">Project ID</t>
  </si>
  <si>
    <t xml:space="preserve">CAPEX VND</t>
  </si>
  <si>
    <t xml:space="preserve">Debt VND</t>
  </si>
  <si>
    <t xml:space="preserve">Capacity kWp</t>
  </si>
  <si>
    <t xml:space="preserve">PVOUT kWh/kWp</t>
  </si>
  <si>
    <t xml:space="preserve">PPA VND/kWh</t>
  </si>
  <si>
    <t xml:space="preserve">Self-consumed kWh</t>
  </si>
  <si>
    <t xml:space="preserve">OPEX VND</t>
  </si>
  <si>
    <t xml:space="preserve">CFADS adjustment</t>
  </si>
  <si>
    <t xml:space="preserve">Python Project NPV</t>
  </si>
  <si>
    <t xml:space="preserve">Python Project IRR</t>
  </si>
  <si>
    <t xml:space="preserve">Python Equity NPV</t>
  </si>
  <si>
    <t xml:space="preserve">Python Equity IRR</t>
  </si>
  <si>
    <t xml:space="preserve">CFADS Y1</t>
  </si>
  <si>
    <t xml:space="preserve">PPA zone</t>
  </si>
  <si>
    <t xml:space="preserve">CURRENT_TERMS</t>
  </si>
  <si>
    <t xml:space="preserve">VG-001</t>
  </si>
  <si>
    <t xml:space="preserve">EMPTY_ZONE</t>
  </si>
  <si>
    <t xml:space="preserve">FEASIBLE_ZONE</t>
  </si>
  <si>
    <t xml:space="preserve">VG-002</t>
  </si>
  <si>
    <t xml:space="preserve">VG-003</t>
  </si>
  <si>
    <t xml:space="preserve">VG-004</t>
  </si>
  <si>
    <t xml:space="preserve">VG-005</t>
  </si>
  <si>
    <t xml:space="preserve">VG-006</t>
  </si>
  <si>
    <t xml:space="preserve">VG-007</t>
  </si>
  <si>
    <t xml:space="preserve">VG-008</t>
  </si>
  <si>
    <t xml:space="preserve">VG-009</t>
  </si>
  <si>
    <t xml:space="preserve">VG-010</t>
  </si>
  <si>
    <t xml:space="preserve">VG-011</t>
  </si>
  <si>
    <t xml:space="preserve">VG-012</t>
  </si>
  <si>
    <t xml:space="preserve">VG-013</t>
  </si>
  <si>
    <t xml:space="preserve">VG-014</t>
  </si>
  <si>
    <t xml:space="preserve">VG-015</t>
  </si>
  <si>
    <t xml:space="preserve">VG-016</t>
  </si>
  <si>
    <t xml:space="preserve">VG-017</t>
  </si>
  <si>
    <t xml:space="preserve">VG-018</t>
  </si>
  <si>
    <t xml:space="preserve">VG-019</t>
  </si>
  <si>
    <t xml:space="preserve">VG-020</t>
  </si>
  <si>
    <t xml:space="preserve">Project CF Y1</t>
  </si>
  <si>
    <t xml:space="preserve">Project CF Y2</t>
  </si>
  <si>
    <t xml:space="preserve">Project CF Y3</t>
  </si>
  <si>
    <t xml:space="preserve">Project CF Y4</t>
  </si>
  <si>
    <t xml:space="preserve">Project CF Y5</t>
  </si>
  <si>
    <t xml:space="preserve">Project CF Y6</t>
  </si>
  <si>
    <t xml:space="preserve">Project CF Y7</t>
  </si>
  <si>
    <t xml:space="preserve">Project CF Y8</t>
  </si>
  <si>
    <t xml:space="preserve">Project CF Y9</t>
  </si>
  <si>
    <t xml:space="preserve">Project CF Y10</t>
  </si>
  <si>
    <t xml:space="preserve">Project CF Y11</t>
  </si>
  <si>
    <t xml:space="preserve">Project CF Y12</t>
  </si>
  <si>
    <t xml:space="preserve">Project CF Y13</t>
  </si>
  <si>
    <t xml:space="preserve">Project CF Y14</t>
  </si>
  <si>
    <t xml:space="preserve">Project CF Y15</t>
  </si>
  <si>
    <t xml:space="preserve">Project CF Y16</t>
  </si>
  <si>
    <t xml:space="preserve">Equity CF Y0</t>
  </si>
  <si>
    <t xml:space="preserve">Equity CF Y1</t>
  </si>
  <si>
    <t xml:space="preserve">Equity CF Y2</t>
  </si>
  <si>
    <t xml:space="preserve">Equity CF Y3</t>
  </si>
  <si>
    <t xml:space="preserve">Equity CF Y4</t>
  </si>
  <si>
    <t xml:space="preserve">Equity CF Y5</t>
  </si>
  <si>
    <t xml:space="preserve">Equity CF Y6</t>
  </si>
  <si>
    <t xml:space="preserve">Equity CF Y7</t>
  </si>
  <si>
    <t xml:space="preserve">Equity CF Y8</t>
  </si>
  <si>
    <t xml:space="preserve">Equity CF Y9</t>
  </si>
  <si>
    <t xml:space="preserve">Equity CF Y10</t>
  </si>
  <si>
    <t xml:space="preserve">Equity CF Y11</t>
  </si>
  <si>
    <t xml:space="preserve">Equity CF Y12</t>
  </si>
  <si>
    <t xml:space="preserve">Equity CF Y13</t>
  </si>
  <si>
    <t xml:space="preserve">Equity CF Y14</t>
  </si>
  <si>
    <t xml:space="preserve">Equity CF Y15</t>
  </si>
  <si>
    <t xml:space="preserve">P50 Energy</t>
  </si>
  <si>
    <t xml:space="preserve">Revenue Y1</t>
  </si>
  <si>
    <t xml:space="preserve">OPEX Y1</t>
  </si>
  <si>
    <t xml:space="preserve">CAPEX</t>
  </si>
  <si>
    <t xml:space="preserve">Debt</t>
  </si>
  <si>
    <t xml:space="preserve">Equity Required</t>
  </si>
  <si>
    <t xml:space="preserve">Project NPV</t>
  </si>
  <si>
    <t xml:space="preserve">Project IRR</t>
  </si>
  <si>
    <t xml:space="preserve">Equity NPV</t>
  </si>
  <si>
    <t xml:space="preserve">Equity IRR</t>
  </si>
  <si>
    <t xml:space="preserve">PPA Zone</t>
  </si>
  <si>
    <t xml:space="preserve">Formula Gate</t>
  </si>
  <si>
    <t xml:space="preserve">Scenario</t>
  </si>
  <si>
    <t xml:space="preserve">Selected Count</t>
  </si>
  <si>
    <t xml:space="preserve">Min DSCR</t>
  </si>
  <si>
    <t xml:space="preserve">Switch Status</t>
  </si>
  <si>
    <t xml:space="preserve">P90_ENERGY</t>
  </si>
  <si>
    <t xml:space="preserve">CAPEX_OVERRUN</t>
  </si>
  <si>
    <t xml:space="preserve">COD_DELAY</t>
  </si>
  <si>
    <t xml:space="preserve">INTEREST_RATE_SHOCK</t>
  </si>
  <si>
    <t xml:space="preserve">DSO_DELAY</t>
  </si>
  <si>
    <t xml:space="preserve">COMBINED_DOWNSIDE</t>
  </si>
  <si>
    <t xml:space="preserve">V4 decision dashboard</t>
  </si>
  <si>
    <t xml:space="preserve">Formula-driven; recalculated remotely</t>
  </si>
  <si>
    <t xml:space="preserve">Active case switch</t>
  </si>
  <si>
    <t xml:space="preserve">Active scenario switch</t>
  </si>
  <si>
    <t xml:space="preserve">Current Terms Equity NPV</t>
  </si>
  <si>
    <t xml:space="preserve">Negotiated Terms Equity NPV</t>
  </si>
  <si>
    <t xml:space="preserve">Formula gate</t>
  </si>
  <si>
    <t xml:space="preserve">Remote-only data boundary</t>
  </si>
  <si>
    <t xml:space="preserve">TRUE</t>
  </si>
  <si>
    <t xml:space="preserve">Model decision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</si>
</sst>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#,##0.00"/>
  </numFmts>
  <fonts count="8">
    <font>
      <sz val="11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</font>
    <font>
      <b val="true"/>
      <sz val="11"/>
      <name val="Arial"/>
      <family val="0"/>
    </font>
    <font>
      <b val="true"/>
      <sz val="1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latin typeface="Arial"/>
              </a:defRPr>
            </a:pPr>
            <a:r>
              <a:rPr b="1" lang="en-US" sz="1800" spc="-1" strike="noStrike">
                <a:latin typeface="Arial"/>
              </a:rPr>
              <a:t>Equity NPV by case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Dashboard!$A$13:$A$14</c:f>
              <c:strCache>
                <c:ptCount val="1"/>
                <c:pt idx="0">
                  <c:v>CURRENT_TERMS NEGOTIATED_TERMS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Dashboard!$B$13:$B$14</c:f>
              <c:numCache>
                <c:formatCode>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gapWidth val="150"/>
        <c:overlap val="0"/>
        <c:axId val="65572450"/>
        <c:axId val="63914802"/>
      </c:barChart>
      <c:catAx>
        <c:axId val="65572450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3914802"/>
        <c:crosses val="autoZero"/>
        <c:auto val="1"/>
        <c:lblAlgn val="ctr"/>
        <c:lblOffset val="100"/>
        <c:noMultiLvlLbl val="0"/>
      </c:catAx>
      <c:valAx>
        <c:axId val="63914802"/>
        <c:scaling>
          <c:orientation val="minMax"/>
        </c:scaling>
        <c:delete val="0"/>
        <c:axPos val="l"/>
        <c:numFmt formatCode="#,##0.00" sourceLinked="1"/>
        <c:majorTickMark val="cross"/>
        <c:minorTickMark val="cross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55724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noFill/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15</xdr:col>
      <xdr:colOff>658080</xdr:colOff>
      <xdr:row>17</xdr:row>
      <xdr:rowOff>162360</xdr:rowOff>
    </xdr:to>
    <xdr:graphicFrame>
      <xdr:nvGraphicFramePr>
        <xdr:cNvPr id="0" name="V4 Equity NPV comparison"/>
        <xdr:cNvGraphicFramePr/>
      </xdr:nvGraphicFramePr>
      <xdr:xfrm>
        <a:off x="5267880" y="220320"/>
        <a:ext cx="5267520" cy="296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7.35" hidden="false" customHeight="false" outlineLevel="0" collapsed="false">
      <c r="A1" s="1" t="s">
        <v>0</v>
      </c>
    </row>
    <row r="2" customFormat="false" ht="13.8" hidden="false" customHeight="false" outlineLevel="0" collapsed="false">
      <c r="A2" s="2" t="s">
        <v>1</v>
      </c>
      <c r="B2" s="0" t="s">
        <v>2</v>
      </c>
    </row>
    <row r="3" customFormat="false" ht="13.8" hidden="false" customHeight="false" outlineLevel="0" collapsed="false">
      <c r="A3" s="2" t="s">
        <v>3</v>
      </c>
      <c r="B3" s="0" t="s">
        <v>4</v>
      </c>
    </row>
    <row r="4" customFormat="false" ht="13.8" hidden="false" customHeight="false" outlineLevel="0" collapsed="false">
      <c r="A4" s="2" t="s">
        <v>5</v>
      </c>
      <c r="B4" s="0" t="s">
        <v>6</v>
      </c>
    </row>
    <row r="5" customFormat="false" ht="13.8" hidden="false" customHeight="false" outlineLevel="0" collapsed="false">
      <c r="A5" s="2" t="s">
        <v>7</v>
      </c>
      <c r="B5" s="0" t="s">
        <v>8</v>
      </c>
    </row>
    <row r="6" customFormat="false" ht="13.8" hidden="false" customHeight="false" outlineLevel="0" collapsed="false">
      <c r="A6" s="2" t="s">
        <v>9</v>
      </c>
      <c r="B6" s="0" t="s">
        <v>10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3.8" hidden="false" customHeight="false" outlineLevel="0" collapsed="false">
      <c r="A1" s="2" t="s">
        <v>11</v>
      </c>
      <c r="B1" s="2" t="s">
        <v>12</v>
      </c>
    </row>
    <row r="2" customFormat="false" ht="13.8" hidden="false" customHeight="false" outlineLevel="0" collapsed="false">
      <c r="A2" s="0" t="s">
        <v>13</v>
      </c>
      <c r="B2" s="3" t="n">
        <v>0.12</v>
      </c>
    </row>
    <row r="3" customFormat="false" ht="13.8" hidden="false" customHeight="false" outlineLevel="0" collapsed="false">
      <c r="A3" s="0" t="s">
        <v>14</v>
      </c>
      <c r="B3" s="3" t="n">
        <v>0.14</v>
      </c>
    </row>
    <row r="4" customFormat="false" ht="13.8" hidden="false" customHeight="false" outlineLevel="0" collapsed="false">
      <c r="A4" s="0" t="s">
        <v>15</v>
      </c>
      <c r="B4" s="3" t="n">
        <v>0.005</v>
      </c>
    </row>
    <row r="5" customFormat="false" ht="13.8" hidden="false" customHeight="false" outlineLevel="0" collapsed="false">
      <c r="A5" s="0" t="s">
        <v>16</v>
      </c>
      <c r="B5" s="3" t="n">
        <v>0.01</v>
      </c>
    </row>
    <row r="6" customFormat="false" ht="13.8" hidden="false" customHeight="false" outlineLevel="0" collapsed="false">
      <c r="A6" s="0" t="s">
        <v>17</v>
      </c>
      <c r="B6" s="0" t="s">
        <v>18</v>
      </c>
    </row>
    <row r="7" customFormat="false" ht="13.8" hidden="false" customHeight="false" outlineLevel="0" collapsed="false">
      <c r="A7" s="0" t="s">
        <v>19</v>
      </c>
      <c r="B7" s="0" t="s">
        <v>20</v>
      </c>
    </row>
    <row r="8" customFormat="false" ht="13.8" hidden="false" customHeight="false" outlineLevel="0" collapsed="false">
      <c r="A8" s="0" t="s">
        <v>21</v>
      </c>
      <c r="B8" s="0" t="s">
        <v>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3.8" hidden="false" customHeight="false" outlineLevel="0" collapsed="false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38</v>
      </c>
    </row>
    <row r="2" customFormat="false" ht="13.8" hidden="false" customHeight="false" outlineLevel="0" collapsed="false">
      <c r="A2" s="0" t="s">
        <v>39</v>
      </c>
      <c r="B2" s="0" t="s">
        <v>40</v>
      </c>
      <c r="C2" s="4" t="n">
        <v>31056520833.3333</v>
      </c>
      <c r="D2" s="4" t="n">
        <v>14555616154.9624</v>
      </c>
      <c r="E2" s="4" t="n">
        <v>1400</v>
      </c>
      <c r="F2" s="0" t="n">
        <v>1320</v>
      </c>
      <c r="G2" s="4" t="n">
        <v>2080.75</v>
      </c>
      <c r="H2" s="4" t="n">
        <v>1848000</v>
      </c>
      <c r="I2" s="4" t="n">
        <v>525000000</v>
      </c>
      <c r="J2" s="4" t="n">
        <v>596677335.15418</v>
      </c>
      <c r="K2" s="4" t="n">
        <v>-10492753849.6861</v>
      </c>
      <c r="L2" s="3" t="n">
        <v>0.0525380673648334</v>
      </c>
      <c r="M2" s="4" t="n">
        <v>-9636155271.19315</v>
      </c>
      <c r="N2" s="3" t="n">
        <v>0.03697935968666</v>
      </c>
      <c r="O2" s="4" t="n">
        <v>2723548664.84582</v>
      </c>
      <c r="P2" s="0" t="s">
        <v>41</v>
      </c>
    </row>
    <row r="3" customFormat="false" ht="13.8" hidden="false" customHeight="false" outlineLevel="0" collapsed="false">
      <c r="A3" s="0" t="s">
        <v>18</v>
      </c>
      <c r="B3" s="0" t="s">
        <v>40</v>
      </c>
      <c r="C3" s="4" t="n">
        <v>24845216666.6667</v>
      </c>
      <c r="D3" s="4" t="n">
        <v>16149390833.3333</v>
      </c>
      <c r="E3" s="4" t="n">
        <v>1400</v>
      </c>
      <c r="F3" s="0" t="n">
        <v>1320</v>
      </c>
      <c r="G3" s="4" t="n">
        <v>2511.67096785316</v>
      </c>
      <c r="H3" s="4" t="n">
        <v>1848000</v>
      </c>
      <c r="I3" s="4" t="n">
        <v>525000000</v>
      </c>
      <c r="J3" s="4" t="n">
        <v>898081255.260448</v>
      </c>
      <c r="K3" s="4" t="n">
        <v>-377806892.089751</v>
      </c>
      <c r="L3" s="3" t="n">
        <v>0.117206900535216</v>
      </c>
      <c r="M3" s="4" t="n">
        <v>207605829.756783</v>
      </c>
      <c r="N3" s="3" t="n">
        <v>0.143210684067796</v>
      </c>
      <c r="O3" s="4" t="n">
        <v>3218486693.3322</v>
      </c>
      <c r="P3" s="0" t="s">
        <v>42</v>
      </c>
    </row>
    <row r="4" customFormat="false" ht="13.8" hidden="false" customHeight="false" outlineLevel="0" collapsed="false">
      <c r="A4" s="0" t="s">
        <v>39</v>
      </c>
      <c r="B4" s="0" t="s">
        <v>43</v>
      </c>
      <c r="C4" s="4" t="n">
        <v>33274843750</v>
      </c>
      <c r="D4" s="4" t="n">
        <v>16238840315.6317</v>
      </c>
      <c r="E4" s="4" t="n">
        <v>1500</v>
      </c>
      <c r="F4" s="0" t="n">
        <v>1320</v>
      </c>
      <c r="G4" s="4" t="n">
        <v>2163.98</v>
      </c>
      <c r="H4" s="4" t="n">
        <v>1980000</v>
      </c>
      <c r="I4" s="4" t="n">
        <v>562500000</v>
      </c>
      <c r="J4" s="4" t="n">
        <v>685801052.20531</v>
      </c>
      <c r="K4" s="4" t="n">
        <v>-10331627070.5281</v>
      </c>
      <c r="L4" s="3" t="n">
        <v>0.0585453060698432</v>
      </c>
      <c r="M4" s="4" t="n">
        <v>-9375849868.06461</v>
      </c>
      <c r="N4" s="3" t="n">
        <v>0.0450239069913473</v>
      </c>
      <c r="O4" s="4" t="n">
        <v>3036379347.79469</v>
      </c>
      <c r="P4" s="0" t="s">
        <v>41</v>
      </c>
    </row>
    <row r="5" customFormat="false" ht="13.8" hidden="false" customHeight="false" outlineLevel="0" collapsed="false">
      <c r="A5" s="0" t="s">
        <v>18</v>
      </c>
      <c r="B5" s="0" t="s">
        <v>43</v>
      </c>
      <c r="C5" s="4" t="n">
        <v>26619875000</v>
      </c>
      <c r="D5" s="4" t="n">
        <v>17302918750</v>
      </c>
      <c r="E5" s="4" t="n">
        <v>1500</v>
      </c>
      <c r="F5" s="0" t="n">
        <v>1320</v>
      </c>
      <c r="G5" s="4" t="n">
        <v>2562.42096785317</v>
      </c>
      <c r="H5" s="4" t="n">
        <v>1980000</v>
      </c>
      <c r="I5" s="4" t="n">
        <v>562500000</v>
      </c>
      <c r="J5" s="4" t="n">
        <v>990585957.44637</v>
      </c>
      <c r="K5" s="4" t="n">
        <v>150456411.693845</v>
      </c>
      <c r="L5" s="3" t="n">
        <v>0.121033711842364</v>
      </c>
      <c r="M5" s="4" t="n">
        <v>659484372.099978</v>
      </c>
      <c r="N5" s="3" t="n">
        <v>0.149371942794462</v>
      </c>
      <c r="O5" s="4" t="n">
        <v>3520507558.9029</v>
      </c>
      <c r="P5" s="0" t="s">
        <v>42</v>
      </c>
    </row>
    <row r="6" customFormat="false" ht="13.8" hidden="false" customHeight="false" outlineLevel="0" collapsed="false">
      <c r="A6" s="0" t="s">
        <v>39</v>
      </c>
      <c r="B6" s="0" t="s">
        <v>44</v>
      </c>
      <c r="C6" s="4" t="n">
        <v>24401552083.3333</v>
      </c>
      <c r="D6" s="4" t="n">
        <v>11638810127.9572</v>
      </c>
      <c r="E6" s="4" t="n">
        <v>1100</v>
      </c>
      <c r="F6" s="0" t="n">
        <v>1320</v>
      </c>
      <c r="G6" s="4" t="n">
        <v>2116.42</v>
      </c>
      <c r="H6" s="4" t="n">
        <v>1452000</v>
      </c>
      <c r="I6" s="4" t="n">
        <v>412500000</v>
      </c>
      <c r="J6" s="4" t="n">
        <v>483433419.945995</v>
      </c>
      <c r="K6" s="4" t="n">
        <v>-7958115134.26993</v>
      </c>
      <c r="L6" s="3" t="n">
        <v>0.0551280513694691</v>
      </c>
      <c r="M6" s="4" t="n">
        <v>-7273132733.35601</v>
      </c>
      <c r="N6" s="3" t="n">
        <v>0.0404104071272499</v>
      </c>
      <c r="O6" s="4" t="n">
        <v>2177108420.054</v>
      </c>
      <c r="P6" s="0" t="s">
        <v>41</v>
      </c>
    </row>
    <row r="7" customFormat="false" ht="13.8" hidden="false" customHeight="false" outlineLevel="0" collapsed="false">
      <c r="A7" s="0" t="s">
        <v>18</v>
      </c>
      <c r="B7" s="0" t="s">
        <v>44</v>
      </c>
      <c r="C7" s="4" t="n">
        <v>19521241666.6667</v>
      </c>
      <c r="D7" s="4" t="n">
        <v>12688807083.3333</v>
      </c>
      <c r="E7" s="4" t="n">
        <v>1100</v>
      </c>
      <c r="F7" s="0" t="n">
        <v>1320</v>
      </c>
      <c r="G7" s="4" t="n">
        <v>2533.42096785317</v>
      </c>
      <c r="H7" s="4" t="n">
        <v>1452000</v>
      </c>
      <c r="I7" s="4" t="n">
        <v>412500000</v>
      </c>
      <c r="J7" s="4" t="n">
        <v>714547170.62049</v>
      </c>
      <c r="K7" s="4" t="n">
        <v>-122341283.385478</v>
      </c>
      <c r="L7" s="3" t="n">
        <v>0.118851000129889</v>
      </c>
      <c r="M7" s="4" t="n">
        <v>300477297.652848</v>
      </c>
      <c r="N7" s="3" t="n">
        <v>0.145874621774875</v>
      </c>
      <c r="O7" s="4" t="n">
        <v>2551480074.70231</v>
      </c>
      <c r="P7" s="0" t="s">
        <v>42</v>
      </c>
    </row>
    <row r="8" customFormat="false" ht="13.8" hidden="false" customHeight="false" outlineLevel="0" collapsed="false">
      <c r="A8" s="0" t="s">
        <v>39</v>
      </c>
      <c r="B8" s="0" t="s">
        <v>45</v>
      </c>
      <c r="C8" s="4" t="n">
        <v>32165682291.6667</v>
      </c>
      <c r="D8" s="4" t="n">
        <v>15909965265.0601</v>
      </c>
      <c r="E8" s="4" t="n">
        <v>1450</v>
      </c>
      <c r="F8" s="0" t="n">
        <v>1320</v>
      </c>
      <c r="G8" s="4" t="n">
        <v>2192.4</v>
      </c>
      <c r="H8" s="4" t="n">
        <v>1914000</v>
      </c>
      <c r="I8" s="4" t="n">
        <v>543750000</v>
      </c>
      <c r="J8" s="4" t="n">
        <v>678291087.378375</v>
      </c>
      <c r="K8" s="4" t="n">
        <v>-9686664433.23482</v>
      </c>
      <c r="L8" s="3" t="n">
        <v>0.0605683555073272</v>
      </c>
      <c r="M8" s="4" t="n">
        <v>-8750205688.28782</v>
      </c>
      <c r="N8" s="3" t="n">
        <v>0.047804201188386</v>
      </c>
      <c r="O8" s="4" t="n">
        <v>2974212512.62163</v>
      </c>
      <c r="P8" s="0" t="s">
        <v>41</v>
      </c>
    </row>
    <row r="9" customFormat="false" ht="13.8" hidden="false" customHeight="false" outlineLevel="0" collapsed="false">
      <c r="A9" s="0" t="s">
        <v>18</v>
      </c>
      <c r="B9" s="0" t="s">
        <v>45</v>
      </c>
      <c r="C9" s="4" t="n">
        <v>25732545833.3333</v>
      </c>
      <c r="D9" s="4" t="n">
        <v>16726154791.6667</v>
      </c>
      <c r="E9" s="4" t="n">
        <v>1450</v>
      </c>
      <c r="F9" s="0" t="n">
        <v>1320</v>
      </c>
      <c r="G9" s="4" t="n">
        <v>2436</v>
      </c>
      <c r="H9" s="4" t="n">
        <v>1914000</v>
      </c>
      <c r="I9" s="4" t="n">
        <v>543750000</v>
      </c>
      <c r="J9" s="4" t="n">
        <v>889284555.820507</v>
      </c>
      <c r="K9" s="4" t="n">
        <v>-1191609859.17005</v>
      </c>
      <c r="L9" s="3" t="n">
        <v>0.111437869314426</v>
      </c>
      <c r="M9" s="4" t="n">
        <v>-414921824.686566</v>
      </c>
      <c r="N9" s="3" t="n">
        <v>0.133653253831931</v>
      </c>
      <c r="O9" s="4" t="n">
        <v>3229469444.17949</v>
      </c>
      <c r="P9" s="0" t="s">
        <v>41</v>
      </c>
    </row>
    <row r="10" customFormat="false" ht="13.8" hidden="false" customHeight="false" outlineLevel="0" collapsed="false">
      <c r="A10" s="0" t="s">
        <v>39</v>
      </c>
      <c r="B10" s="0" t="s">
        <v>46</v>
      </c>
      <c r="C10" s="4" t="n">
        <v>26619875000</v>
      </c>
      <c r="D10" s="4" t="n">
        <v>15105702622.132</v>
      </c>
      <c r="E10" s="4" t="n">
        <v>1200</v>
      </c>
      <c r="F10" s="0" t="n">
        <v>1480</v>
      </c>
      <c r="G10" s="4" t="n">
        <v>2235.32</v>
      </c>
      <c r="H10" s="4" t="n">
        <v>1775698.11456187</v>
      </c>
      <c r="I10" s="4" t="n">
        <v>450000000</v>
      </c>
      <c r="J10" s="4" t="n">
        <v>701450284.264447</v>
      </c>
      <c r="K10" s="4" t="n">
        <v>-5273086775.65284</v>
      </c>
      <c r="L10" s="3" t="n">
        <v>0.0820445050496704</v>
      </c>
      <c r="M10" s="4" t="n">
        <v>-4383621937.29295</v>
      </c>
      <c r="N10" s="3" t="n">
        <v>0.0800752995314819</v>
      </c>
      <c r="O10" s="4" t="n">
        <v>2817803225.178</v>
      </c>
      <c r="P10" s="0" t="s">
        <v>42</v>
      </c>
    </row>
    <row r="11" customFormat="false" ht="13.8" hidden="false" customHeight="false" outlineLevel="0" collapsed="false">
      <c r="A11" s="0" t="s">
        <v>18</v>
      </c>
      <c r="B11" s="0" t="s">
        <v>46</v>
      </c>
      <c r="C11" s="4" t="n">
        <v>21295900000</v>
      </c>
      <c r="D11" s="4" t="n">
        <v>13842335000</v>
      </c>
      <c r="E11" s="4" t="n">
        <v>1200</v>
      </c>
      <c r="F11" s="0" t="n">
        <v>1480</v>
      </c>
      <c r="G11" s="4" t="n">
        <v>2471.73959764562</v>
      </c>
      <c r="H11" s="4" t="n">
        <v>1775698.11456187</v>
      </c>
      <c r="I11" s="4" t="n">
        <v>450000000</v>
      </c>
      <c r="J11" s="4" t="n">
        <v>885645255.286485</v>
      </c>
      <c r="K11" s="4" t="n">
        <v>1944886398.11704</v>
      </c>
      <c r="L11" s="3" t="n">
        <v>0.136428825768957</v>
      </c>
      <c r="M11" s="4" t="n">
        <v>1989346696.59175</v>
      </c>
      <c r="N11" s="3" t="n">
        <v>0.173491876256147</v>
      </c>
      <c r="O11" s="4" t="n">
        <v>3053418087.94076</v>
      </c>
      <c r="P11" s="0" t="s">
        <v>42</v>
      </c>
    </row>
    <row r="12" customFormat="false" ht="13.8" hidden="false" customHeight="false" outlineLevel="0" collapsed="false">
      <c r="A12" s="0" t="s">
        <v>39</v>
      </c>
      <c r="B12" s="0" t="s">
        <v>47</v>
      </c>
      <c r="C12" s="4" t="n">
        <v>26619875000</v>
      </c>
      <c r="D12" s="4" t="n">
        <v>14118794745.9551</v>
      </c>
      <c r="E12" s="4" t="n">
        <v>1200</v>
      </c>
      <c r="F12" s="0" t="n">
        <v>1480</v>
      </c>
      <c r="G12" s="4" t="n">
        <v>2092.64</v>
      </c>
      <c r="H12" s="4" t="n">
        <v>1776000</v>
      </c>
      <c r="I12" s="4" t="n">
        <v>450000000</v>
      </c>
      <c r="J12" s="4" t="n">
        <v>630133403.298495</v>
      </c>
      <c r="K12" s="4" t="n">
        <v>-6669567444.54946</v>
      </c>
      <c r="L12" s="3" t="n">
        <v>0.0712937646431223</v>
      </c>
      <c r="M12" s="4" t="n">
        <v>-5838367453.39136</v>
      </c>
      <c r="N12" s="3" t="n">
        <v>0.0632294581831855</v>
      </c>
      <c r="O12" s="4" t="n">
        <v>2636395236.70151</v>
      </c>
      <c r="P12" s="0" t="s">
        <v>41</v>
      </c>
    </row>
    <row r="13" customFormat="false" ht="13.8" hidden="false" customHeight="false" outlineLevel="0" collapsed="false">
      <c r="A13" s="0" t="s">
        <v>18</v>
      </c>
      <c r="B13" s="0" t="s">
        <v>47</v>
      </c>
      <c r="C13" s="4" t="n">
        <v>21295900000</v>
      </c>
      <c r="D13" s="4" t="n">
        <v>13842335000</v>
      </c>
      <c r="E13" s="4" t="n">
        <v>1200</v>
      </c>
      <c r="F13" s="0" t="n">
        <v>1480</v>
      </c>
      <c r="G13" s="4" t="n">
        <v>2384.55113349066</v>
      </c>
      <c r="H13" s="4" t="n">
        <v>1776000</v>
      </c>
      <c r="I13" s="4" t="n">
        <v>450000000</v>
      </c>
      <c r="J13" s="4" t="n">
        <v>842159352.258467</v>
      </c>
      <c r="K13" s="4" t="n">
        <v>1093373795.13131</v>
      </c>
      <c r="L13" s="3" t="n">
        <v>0.129305599457578</v>
      </c>
      <c r="M13" s="4" t="n">
        <v>1301763064.08352</v>
      </c>
      <c r="N13" s="3" t="n">
        <v>0.162427616766669</v>
      </c>
      <c r="O13" s="4" t="n">
        <v>2942803460.82095</v>
      </c>
      <c r="P13" s="0" t="s">
        <v>42</v>
      </c>
    </row>
    <row r="14" customFormat="false" ht="13.8" hidden="false" customHeight="false" outlineLevel="0" collapsed="false">
      <c r="A14" s="0" t="s">
        <v>39</v>
      </c>
      <c r="B14" s="0" t="s">
        <v>48</v>
      </c>
      <c r="C14" s="4" t="n">
        <v>28838197916.6667</v>
      </c>
      <c r="D14" s="4" t="n">
        <v>15652695967.7684</v>
      </c>
      <c r="E14" s="4" t="n">
        <v>1300</v>
      </c>
      <c r="F14" s="0" t="n">
        <v>1480</v>
      </c>
      <c r="G14" s="4" t="n">
        <v>2140.2</v>
      </c>
      <c r="H14" s="4" t="n">
        <v>1924000</v>
      </c>
      <c r="I14" s="4" t="n">
        <v>487500000</v>
      </c>
      <c r="J14" s="4" t="n">
        <v>708466603.308529</v>
      </c>
      <c r="K14" s="4" t="n">
        <v>-6719733535.343</v>
      </c>
      <c r="L14" s="3" t="n">
        <v>0.0749261457929292</v>
      </c>
      <c r="M14" s="4" t="n">
        <v>-5798170614.59295</v>
      </c>
      <c r="N14" s="3" t="n">
        <v>0.0687486737330149</v>
      </c>
      <c r="O14" s="4" t="n">
        <v>2921778196.69147</v>
      </c>
      <c r="P14" s="0" t="s">
        <v>41</v>
      </c>
    </row>
    <row r="15" customFormat="false" ht="13.8" hidden="false" customHeight="false" outlineLevel="0" collapsed="false">
      <c r="A15" s="0" t="s">
        <v>18</v>
      </c>
      <c r="B15" s="0" t="s">
        <v>48</v>
      </c>
      <c r="C15" s="4" t="n">
        <v>23070558333.3333</v>
      </c>
      <c r="D15" s="4" t="n">
        <v>14995862916.6667</v>
      </c>
      <c r="E15" s="4" t="n">
        <v>1300</v>
      </c>
      <c r="F15" s="0" t="n">
        <v>1480</v>
      </c>
      <c r="G15" s="4" t="n">
        <v>2413.55113349066</v>
      </c>
      <c r="H15" s="4" t="n">
        <v>1924000</v>
      </c>
      <c r="I15" s="4" t="n">
        <v>487500000</v>
      </c>
      <c r="J15" s="4" t="n">
        <v>928084470.882745</v>
      </c>
      <c r="K15" s="4" t="n">
        <v>1492799983.09078</v>
      </c>
      <c r="L15" s="3" t="n">
        <v>0.131697889030887</v>
      </c>
      <c r="M15" s="4" t="n">
        <v>1659200388.69946</v>
      </c>
      <c r="N15" s="3" t="n">
        <v>0.166181465361722</v>
      </c>
      <c r="O15" s="4" t="n">
        <v>3228087909.95329</v>
      </c>
      <c r="P15" s="0" t="s">
        <v>42</v>
      </c>
    </row>
    <row r="16" customFormat="false" ht="13.8" hidden="false" customHeight="false" outlineLevel="0" collapsed="false">
      <c r="A16" s="0" t="s">
        <v>39</v>
      </c>
      <c r="B16" s="0" t="s">
        <v>49</v>
      </c>
      <c r="C16" s="4" t="n">
        <v>28838197916.6667</v>
      </c>
      <c r="D16" s="4" t="n">
        <v>15565246649.2811</v>
      </c>
      <c r="E16" s="4" t="n">
        <v>1300</v>
      </c>
      <c r="F16" s="0" t="n">
        <v>1420</v>
      </c>
      <c r="G16" s="4" t="n">
        <v>2218.5</v>
      </c>
      <c r="H16" s="4" t="n">
        <v>1846000</v>
      </c>
      <c r="I16" s="4" t="n">
        <v>487500000</v>
      </c>
      <c r="J16" s="4" t="n">
        <v>702147257.007159</v>
      </c>
      <c r="K16" s="4" t="n">
        <v>-6843474854.79498</v>
      </c>
      <c r="L16" s="3" t="n">
        <v>0.0740409737947848</v>
      </c>
      <c r="M16" s="4" t="n">
        <v>-5927074747.41642</v>
      </c>
      <c r="N16" s="3" t="n">
        <v>0.0673884893588154</v>
      </c>
      <c r="O16" s="4" t="n">
        <v>2905703742.99284</v>
      </c>
      <c r="P16" s="0" t="s">
        <v>41</v>
      </c>
    </row>
    <row r="17" customFormat="false" ht="13.8" hidden="false" customHeight="false" outlineLevel="0" collapsed="false">
      <c r="A17" s="0" t="s">
        <v>18</v>
      </c>
      <c r="B17" s="0" t="s">
        <v>49</v>
      </c>
      <c r="C17" s="4" t="n">
        <v>23070558333.3333</v>
      </c>
      <c r="D17" s="4" t="n">
        <v>14995862916.6667</v>
      </c>
      <c r="E17" s="4" t="n">
        <v>1300</v>
      </c>
      <c r="F17" s="0" t="n">
        <v>1420</v>
      </c>
      <c r="G17" s="4" t="n">
        <v>2387.89132222971</v>
      </c>
      <c r="H17" s="4" t="n">
        <v>1846000</v>
      </c>
      <c r="I17" s="4" t="n">
        <v>487500000</v>
      </c>
      <c r="J17" s="4" t="n">
        <v>861593032.526583</v>
      </c>
      <c r="K17" s="4" t="n">
        <v>190807985.490051</v>
      </c>
      <c r="L17" s="3" t="n">
        <v>0.121511828463425</v>
      </c>
      <c r="M17" s="4" t="n">
        <v>619105123.077674</v>
      </c>
      <c r="N17" s="3" t="n">
        <v>0.150132139381161</v>
      </c>
      <c r="O17" s="4" t="n">
        <v>3058954348.30946</v>
      </c>
      <c r="P17" s="0" t="s">
        <v>42</v>
      </c>
    </row>
    <row r="18" customFormat="false" ht="13.8" hidden="false" customHeight="false" outlineLevel="0" collapsed="false">
      <c r="A18" s="0" t="s">
        <v>39</v>
      </c>
      <c r="B18" s="0" t="s">
        <v>50</v>
      </c>
      <c r="C18" s="4" t="n">
        <v>28838197916.6667</v>
      </c>
      <c r="D18" s="4" t="n">
        <v>15941543716.7113</v>
      </c>
      <c r="E18" s="4" t="n">
        <v>1300</v>
      </c>
      <c r="F18" s="0" t="n">
        <v>1420</v>
      </c>
      <c r="G18" s="4" t="n">
        <v>2270.7</v>
      </c>
      <c r="H18" s="4" t="n">
        <v>1846000</v>
      </c>
      <c r="I18" s="4" t="n">
        <v>487500000</v>
      </c>
      <c r="J18" s="4" t="n">
        <v>729339595.637296</v>
      </c>
      <c r="K18" s="4" t="n">
        <v>-6311012207.45617</v>
      </c>
      <c r="L18" s="3" t="n">
        <v>0.0778330276616707</v>
      </c>
      <c r="M18" s="4" t="n">
        <v>-5372396357.69117</v>
      </c>
      <c r="N18" s="3" t="n">
        <v>0.0732880676249547</v>
      </c>
      <c r="O18" s="4" t="n">
        <v>2974872604.3627</v>
      </c>
      <c r="P18" s="0" t="s">
        <v>41</v>
      </c>
    </row>
    <row r="19" customFormat="false" ht="13.8" hidden="false" customHeight="false" outlineLevel="0" collapsed="false">
      <c r="A19" s="0" t="s">
        <v>18</v>
      </c>
      <c r="B19" s="0" t="s">
        <v>50</v>
      </c>
      <c r="C19" s="4" t="n">
        <v>23070558333.3333</v>
      </c>
      <c r="D19" s="4" t="n">
        <v>14995862916.6667</v>
      </c>
      <c r="E19" s="4" t="n">
        <v>1300</v>
      </c>
      <c r="F19" s="0" t="n">
        <v>1420</v>
      </c>
      <c r="G19" s="4" t="n">
        <v>2416.8913222297</v>
      </c>
      <c r="H19" s="4" t="n">
        <v>1846000</v>
      </c>
      <c r="I19" s="4" t="n">
        <v>487500000</v>
      </c>
      <c r="J19" s="4" t="n">
        <v>876699887.321101</v>
      </c>
      <c r="K19" s="4" t="n">
        <v>486620567.344909</v>
      </c>
      <c r="L19" s="3" t="n">
        <v>0.123845715838427</v>
      </c>
      <c r="M19" s="4" t="n">
        <v>851945953.55768</v>
      </c>
      <c r="N19" s="3" t="n">
        <v>0.153813272571581</v>
      </c>
      <c r="O19" s="4" t="n">
        <v>3097381493.51493</v>
      </c>
      <c r="P19" s="0" t="s">
        <v>42</v>
      </c>
    </row>
    <row r="20" customFormat="false" ht="13.8" hidden="false" customHeight="false" outlineLevel="0" collapsed="false">
      <c r="A20" s="0" t="s">
        <v>39</v>
      </c>
      <c r="B20" s="0" t="s">
        <v>51</v>
      </c>
      <c r="C20" s="4" t="n">
        <v>28838197916.6667</v>
      </c>
      <c r="D20" s="4" t="n">
        <v>15343649487.3501</v>
      </c>
      <c r="E20" s="4" t="n">
        <v>1300</v>
      </c>
      <c r="F20" s="0" t="n">
        <v>1420</v>
      </c>
      <c r="G20" s="4" t="n">
        <v>2187.76</v>
      </c>
      <c r="H20" s="4" t="n">
        <v>1846000</v>
      </c>
      <c r="I20" s="4" t="n">
        <v>487500000</v>
      </c>
      <c r="J20" s="4" t="n">
        <v>686133990.924968</v>
      </c>
      <c r="K20" s="4" t="n">
        <v>-7157036191.56116</v>
      </c>
      <c r="L20" s="3" t="n">
        <v>0.0717870327233096</v>
      </c>
      <c r="M20" s="4" t="n">
        <v>-6253718688.0324</v>
      </c>
      <c r="N20" s="3" t="n">
        <v>0.0639694354345396</v>
      </c>
      <c r="O20" s="4" t="n">
        <v>2864970969.07503</v>
      </c>
      <c r="P20" s="0" t="s">
        <v>41</v>
      </c>
    </row>
    <row r="21" customFormat="false" ht="13.8" hidden="false" customHeight="false" outlineLevel="0" collapsed="false">
      <c r="A21" s="0" t="s">
        <v>18</v>
      </c>
      <c r="B21" s="0" t="s">
        <v>51</v>
      </c>
      <c r="C21" s="4" t="n">
        <v>23070558333.3333</v>
      </c>
      <c r="D21" s="4" t="n">
        <v>14995862916.6667</v>
      </c>
      <c r="E21" s="4" t="n">
        <v>1300</v>
      </c>
      <c r="F21" s="0" t="n">
        <v>1420</v>
      </c>
      <c r="G21" s="4" t="n">
        <v>2489.3913222297</v>
      </c>
      <c r="H21" s="4" t="n">
        <v>1846000</v>
      </c>
      <c r="I21" s="4" t="n">
        <v>487500000</v>
      </c>
      <c r="J21" s="4" t="n">
        <v>914467024.307403</v>
      </c>
      <c r="K21" s="4" t="n">
        <v>1226152021.98214</v>
      </c>
      <c r="L21" s="3" t="n">
        <v>0.129629576659392</v>
      </c>
      <c r="M21" s="4" t="n">
        <v>1443886166.62322</v>
      </c>
      <c r="N21" s="3" t="n">
        <v>0.162938274301723</v>
      </c>
      <c r="O21" s="4" t="n">
        <v>3193449356.52863</v>
      </c>
      <c r="P21" s="0" t="s">
        <v>42</v>
      </c>
    </row>
    <row r="22" customFormat="false" ht="13.8" hidden="false" customHeight="false" outlineLevel="0" collapsed="false">
      <c r="A22" s="0" t="s">
        <v>39</v>
      </c>
      <c r="B22" s="0" t="s">
        <v>52</v>
      </c>
      <c r="C22" s="4" t="n">
        <v>26619875000</v>
      </c>
      <c r="D22" s="4" t="n">
        <v>14321606498.7296</v>
      </c>
      <c r="E22" s="4" t="n">
        <v>1200</v>
      </c>
      <c r="F22" s="0" t="n">
        <v>1420</v>
      </c>
      <c r="G22" s="4" t="n">
        <v>2211.54</v>
      </c>
      <c r="H22" s="4" t="n">
        <v>1704000</v>
      </c>
      <c r="I22" s="4" t="n">
        <v>450000000</v>
      </c>
      <c r="J22" s="4" t="n">
        <v>644789180.175207</v>
      </c>
      <c r="K22" s="4" t="n">
        <v>-6382587576.40629</v>
      </c>
      <c r="L22" s="3" t="n">
        <v>0.0735320258975601</v>
      </c>
      <c r="M22" s="4" t="n">
        <v>-5539414030.19672</v>
      </c>
      <c r="N22" s="3" t="n">
        <v>0.0666109389526505</v>
      </c>
      <c r="O22" s="4" t="n">
        <v>2673674979.82479</v>
      </c>
      <c r="P22" s="0" t="s">
        <v>41</v>
      </c>
    </row>
    <row r="23" customFormat="false" ht="13.8" hidden="false" customHeight="false" outlineLevel="0" collapsed="false">
      <c r="A23" s="0" t="s">
        <v>18</v>
      </c>
      <c r="B23" s="0" t="s">
        <v>52</v>
      </c>
      <c r="C23" s="4" t="n">
        <v>21295900000</v>
      </c>
      <c r="D23" s="4" t="n">
        <v>13842335000</v>
      </c>
      <c r="E23" s="4" t="n">
        <v>1200</v>
      </c>
      <c r="F23" s="0" t="n">
        <v>1420</v>
      </c>
      <c r="G23" s="4" t="n">
        <v>2503.89132222971</v>
      </c>
      <c r="H23" s="4" t="n">
        <v>1704000</v>
      </c>
      <c r="I23" s="4" t="n">
        <v>450000000</v>
      </c>
      <c r="J23" s="4" t="n">
        <v>851095801.573535</v>
      </c>
      <c r="K23" s="4" t="n">
        <v>1268361519.60886</v>
      </c>
      <c r="L23" s="3" t="n">
        <v>0.130777935941687</v>
      </c>
      <c r="M23" s="4" t="n">
        <v>1443063022.32106</v>
      </c>
      <c r="N23" s="3" t="n">
        <v>0.164742541381264</v>
      </c>
      <c r="O23" s="4" t="n">
        <v>2965535011.50588</v>
      </c>
      <c r="P23" s="0" t="s">
        <v>42</v>
      </c>
    </row>
    <row r="24" customFormat="false" ht="13.8" hidden="false" customHeight="false" outlineLevel="0" collapsed="false">
      <c r="A24" s="0" t="s">
        <v>39</v>
      </c>
      <c r="B24" s="0" t="s">
        <v>53</v>
      </c>
      <c r="C24" s="4" t="n">
        <v>25510713541.6667</v>
      </c>
      <c r="D24" s="4" t="n">
        <v>13269939388.7356</v>
      </c>
      <c r="E24" s="4" t="n">
        <v>1150</v>
      </c>
      <c r="F24" s="0" t="n">
        <v>1420</v>
      </c>
      <c r="G24" s="4" t="n">
        <v>2140.2</v>
      </c>
      <c r="H24" s="4" t="n">
        <v>1633000</v>
      </c>
      <c r="I24" s="4" t="n">
        <v>431250000</v>
      </c>
      <c r="J24" s="4" t="n">
        <v>585048124.17019</v>
      </c>
      <c r="K24" s="4" t="n">
        <v>-6760380115.13359</v>
      </c>
      <c r="L24" s="3" t="n">
        <v>0.0682680703699313</v>
      </c>
      <c r="M24" s="4" t="n">
        <v>-5979197062.92688</v>
      </c>
      <c r="N24" s="3" t="n">
        <v>0.0587526452152266</v>
      </c>
      <c r="O24" s="4" t="n">
        <v>2478648475.82981</v>
      </c>
      <c r="P24" s="0" t="s">
        <v>41</v>
      </c>
    </row>
    <row r="25" customFormat="false" ht="13.8" hidden="false" customHeight="false" outlineLevel="0" collapsed="false">
      <c r="A25" s="0" t="s">
        <v>18</v>
      </c>
      <c r="B25" s="0" t="s">
        <v>53</v>
      </c>
      <c r="C25" s="4" t="n">
        <v>20408570833.3333</v>
      </c>
      <c r="D25" s="4" t="n">
        <v>13265571041.6667</v>
      </c>
      <c r="E25" s="4" t="n">
        <v>1150</v>
      </c>
      <c r="F25" s="0" t="n">
        <v>1420</v>
      </c>
      <c r="G25" s="4" t="n">
        <v>2460.39132222971</v>
      </c>
      <c r="H25" s="4" t="n">
        <v>1633000</v>
      </c>
      <c r="I25" s="4" t="n">
        <v>431250000</v>
      </c>
      <c r="J25" s="4" t="n">
        <v>795587842.261396</v>
      </c>
      <c r="K25" s="4" t="n">
        <v>822992581.651038</v>
      </c>
      <c r="L25" s="3" t="n">
        <v>0.12732455720102</v>
      </c>
      <c r="M25" s="4" t="n">
        <v>1065980957.1027</v>
      </c>
      <c r="N25" s="3" t="n">
        <v>0.159289278792329</v>
      </c>
      <c r="O25" s="4" t="n">
        <v>2790981186.93971</v>
      </c>
      <c r="P25" s="0" t="s">
        <v>42</v>
      </c>
    </row>
    <row r="26" customFormat="false" ht="13.8" hidden="false" customHeight="false" outlineLevel="0" collapsed="false">
      <c r="A26" s="0" t="s">
        <v>39</v>
      </c>
      <c r="B26" s="0" t="s">
        <v>54</v>
      </c>
      <c r="C26" s="4" t="n">
        <v>23292390625</v>
      </c>
      <c r="D26" s="4" t="n">
        <v>12046802604.0377</v>
      </c>
      <c r="E26" s="4" t="n">
        <v>1050</v>
      </c>
      <c r="F26" s="0" t="n">
        <v>1420</v>
      </c>
      <c r="G26" s="4" t="n">
        <v>2128.31</v>
      </c>
      <c r="H26" s="4" t="n">
        <v>1491000</v>
      </c>
      <c r="I26" s="4" t="n">
        <v>393750000</v>
      </c>
      <c r="J26" s="4" t="n">
        <v>529171681.173854</v>
      </c>
      <c r="K26" s="4" t="n">
        <v>-6270480448.90913</v>
      </c>
      <c r="L26" s="3" t="n">
        <v>0.0673821288251119</v>
      </c>
      <c r="M26" s="4" t="n">
        <v>-5561313484.72856</v>
      </c>
      <c r="N26" s="3" t="n">
        <v>0.0574613859300567</v>
      </c>
      <c r="O26" s="4" t="n">
        <v>2250388528.82615</v>
      </c>
      <c r="P26" s="0" t="s">
        <v>41</v>
      </c>
    </row>
    <row r="27" customFormat="false" ht="13.8" hidden="false" customHeight="false" outlineLevel="0" collapsed="false">
      <c r="A27" s="0" t="s">
        <v>18</v>
      </c>
      <c r="B27" s="0" t="s">
        <v>54</v>
      </c>
      <c r="C27" s="4" t="n">
        <v>18633912500</v>
      </c>
      <c r="D27" s="4" t="n">
        <v>12112043125</v>
      </c>
      <c r="E27" s="4" t="n">
        <v>1050</v>
      </c>
      <c r="F27" s="0" t="n">
        <v>1420</v>
      </c>
      <c r="G27" s="4" t="n">
        <v>2453.1413222297</v>
      </c>
      <c r="H27" s="4" t="n">
        <v>1491000</v>
      </c>
      <c r="I27" s="4" t="n">
        <v>393750000</v>
      </c>
      <c r="J27" s="4" t="n">
        <v>723355868.157665</v>
      </c>
      <c r="K27" s="4" t="n">
        <v>691696622.612849</v>
      </c>
      <c r="L27" s="3" t="n">
        <v>0.126746546073277</v>
      </c>
      <c r="M27" s="4" t="n">
        <v>925054763.549884</v>
      </c>
      <c r="N27" s="3" t="n">
        <v>0.158368447940722</v>
      </c>
      <c r="O27" s="4" t="n">
        <v>2540527843.28682</v>
      </c>
      <c r="P27" s="0" t="s">
        <v>42</v>
      </c>
    </row>
    <row r="28" customFormat="false" ht="13.8" hidden="false" customHeight="false" outlineLevel="0" collapsed="false">
      <c r="A28" s="0" t="s">
        <v>39</v>
      </c>
      <c r="B28" s="0" t="s">
        <v>55</v>
      </c>
      <c r="C28" s="4" t="n">
        <v>27729036458.3333</v>
      </c>
      <c r="D28" s="4" t="n">
        <v>14176600691.0821</v>
      </c>
      <c r="E28" s="4" t="n">
        <v>1250</v>
      </c>
      <c r="F28" s="0" t="n">
        <v>1420</v>
      </c>
      <c r="G28" s="4" t="n">
        <v>2104.53</v>
      </c>
      <c r="H28" s="4" t="n">
        <v>1775000</v>
      </c>
      <c r="I28" s="4" t="n">
        <v>468750000</v>
      </c>
      <c r="J28" s="4" t="n">
        <v>618055113.139129</v>
      </c>
      <c r="K28" s="4" t="n">
        <v>-7698094520.65836</v>
      </c>
      <c r="L28" s="3" t="n">
        <v>0.0656025999654771</v>
      </c>
      <c r="M28" s="4" t="n">
        <v>-6863579389.40693</v>
      </c>
      <c r="N28" s="3" t="n">
        <v>0.0548934018456543</v>
      </c>
      <c r="O28" s="4" t="n">
        <v>2648735636.86087</v>
      </c>
      <c r="P28" s="0" t="s">
        <v>41</v>
      </c>
    </row>
    <row r="29" customFormat="false" ht="13.8" hidden="false" customHeight="false" outlineLevel="0" collapsed="false">
      <c r="A29" s="0" t="s">
        <v>18</v>
      </c>
      <c r="B29" s="0" t="s">
        <v>55</v>
      </c>
      <c r="C29" s="4" t="n">
        <v>22183229166.6667</v>
      </c>
      <c r="D29" s="4" t="n">
        <v>14419098958.3333</v>
      </c>
      <c r="E29" s="4" t="n">
        <v>1250</v>
      </c>
      <c r="F29" s="0" t="n">
        <v>1420</v>
      </c>
      <c r="G29" s="4" t="n">
        <v>2438.64132222971</v>
      </c>
      <c r="H29" s="4" t="n">
        <v>1775000</v>
      </c>
      <c r="I29" s="4" t="n">
        <v>468750000</v>
      </c>
      <c r="J29" s="4" t="n">
        <v>853875027.324031</v>
      </c>
      <c r="K29" s="4" t="n">
        <v>681230772.823166</v>
      </c>
      <c r="L29" s="3" t="n">
        <v>0.125588383346958</v>
      </c>
      <c r="M29" s="4" t="n">
        <v>987092861.94011</v>
      </c>
      <c r="N29" s="3" t="n">
        <v>0.156530359458199</v>
      </c>
      <c r="O29" s="4" t="n">
        <v>3005963319.6337</v>
      </c>
      <c r="P29" s="0" t="s">
        <v>42</v>
      </c>
    </row>
    <row r="30" customFormat="false" ht="13.8" hidden="false" customHeight="false" outlineLevel="0" collapsed="false">
      <c r="A30" s="0" t="s">
        <v>39</v>
      </c>
      <c r="B30" s="0" t="s">
        <v>56</v>
      </c>
      <c r="C30" s="4" t="n">
        <v>26619875000</v>
      </c>
      <c r="D30" s="4" t="n">
        <v>13542106714.2025</v>
      </c>
      <c r="E30" s="4" t="n">
        <v>1200</v>
      </c>
      <c r="F30" s="0" t="n">
        <v>1420</v>
      </c>
      <c r="G30" s="4" t="n">
        <v>2116.42</v>
      </c>
      <c r="H30" s="4" t="n">
        <v>1686268.24041343</v>
      </c>
      <c r="I30" s="4" t="n">
        <v>450000000</v>
      </c>
      <c r="J30" s="4" t="n">
        <v>588460221.122351</v>
      </c>
      <c r="K30" s="4" t="n">
        <v>-7485584529.59523</v>
      </c>
      <c r="L30" s="3" t="n">
        <v>0.0648411434113284</v>
      </c>
      <c r="M30" s="4" t="n">
        <v>-6688430917.90604</v>
      </c>
      <c r="N30" s="3" t="n">
        <v>0.0538047793036246</v>
      </c>
      <c r="O30" s="4" t="n">
        <v>2530391608.25345</v>
      </c>
      <c r="P30" s="0" t="s">
        <v>41</v>
      </c>
    </row>
    <row r="31" customFormat="false" ht="13.8" hidden="false" customHeight="false" outlineLevel="0" collapsed="false">
      <c r="A31" s="0" t="s">
        <v>18</v>
      </c>
      <c r="B31" s="0" t="s">
        <v>56</v>
      </c>
      <c r="C31" s="4" t="n">
        <v>21295900000</v>
      </c>
      <c r="D31" s="4" t="n">
        <v>13842335000</v>
      </c>
      <c r="E31" s="4" t="n">
        <v>1200</v>
      </c>
      <c r="F31" s="0" t="n">
        <v>1420</v>
      </c>
      <c r="G31" s="4" t="n">
        <v>2458.04070668894</v>
      </c>
      <c r="H31" s="4" t="n">
        <v>1686268.24041343</v>
      </c>
      <c r="I31" s="4" t="n">
        <v>450000000</v>
      </c>
      <c r="J31" s="4" t="n">
        <v>816748875.321794</v>
      </c>
      <c r="K31" s="4" t="n">
        <v>595802401.810721</v>
      </c>
      <c r="L31" s="3" t="n">
        <v>0.125093980046785</v>
      </c>
      <c r="M31" s="4" t="n">
        <v>901815019.25997</v>
      </c>
      <c r="N31" s="3" t="n">
        <v>0.155762207631635</v>
      </c>
      <c r="O31" s="4" t="n">
        <v>2878167102.01116</v>
      </c>
      <c r="P31" s="0" t="s">
        <v>42</v>
      </c>
    </row>
    <row r="32" customFormat="false" ht="13.8" hidden="false" customHeight="false" outlineLevel="0" collapsed="false">
      <c r="A32" s="0" t="s">
        <v>39</v>
      </c>
      <c r="B32" s="0" t="s">
        <v>57</v>
      </c>
      <c r="C32" s="4" t="n">
        <v>22183229166.6667</v>
      </c>
      <c r="D32" s="4" t="n">
        <v>10612774338.3779</v>
      </c>
      <c r="E32" s="4" t="n">
        <v>1000</v>
      </c>
      <c r="F32" s="0" t="n">
        <v>1420</v>
      </c>
      <c r="G32" s="4" t="n">
        <v>2270.7</v>
      </c>
      <c r="H32" s="4" t="n">
        <v>1420000</v>
      </c>
      <c r="I32" s="4" t="n">
        <v>375000000</v>
      </c>
      <c r="J32" s="4" t="n">
        <v>561030458.182535</v>
      </c>
      <c r="K32" s="4" t="n">
        <v>-9603940389.75798</v>
      </c>
      <c r="L32" s="3" t="n">
        <v>-0.0166779785504139</v>
      </c>
      <c r="M32" s="4" t="n">
        <v>-8593002920.97892</v>
      </c>
      <c r="N32" s="3" t="n">
        <v>-0.124490495841944</v>
      </c>
      <c r="O32" s="4" t="n">
        <v>2288363541.81746</v>
      </c>
      <c r="P32" s="0" t="s">
        <v>41</v>
      </c>
    </row>
    <row r="33" customFormat="false" ht="13.8" hidden="false" customHeight="false" outlineLevel="0" collapsed="false">
      <c r="A33" s="0" t="s">
        <v>18</v>
      </c>
      <c r="B33" s="0" t="s">
        <v>57</v>
      </c>
      <c r="C33" s="4" t="n">
        <v>17746583333.3333</v>
      </c>
      <c r="D33" s="4" t="n">
        <v>11535279166.6667</v>
      </c>
      <c r="E33" s="4" t="n">
        <v>1000</v>
      </c>
      <c r="F33" s="0" t="n">
        <v>1420</v>
      </c>
      <c r="G33" s="4" t="n">
        <v>2416.8913222297</v>
      </c>
      <c r="H33" s="4" t="n">
        <v>1420000</v>
      </c>
      <c r="I33" s="4" t="n">
        <v>375000000</v>
      </c>
      <c r="J33" s="4" t="n">
        <v>674384528.70854</v>
      </c>
      <c r="K33" s="4" t="n">
        <v>374323513.342234</v>
      </c>
      <c r="L33" s="3" t="n">
        <v>0.123845715838427</v>
      </c>
      <c r="M33" s="4" t="n">
        <v>655343041.198211</v>
      </c>
      <c r="N33" s="3" t="n">
        <v>0.153813272571581</v>
      </c>
      <c r="O33" s="4" t="n">
        <v>2382601148.85764</v>
      </c>
      <c r="P33" s="0" t="s">
        <v>42</v>
      </c>
    </row>
    <row r="34" customFormat="false" ht="13.8" hidden="false" customHeight="false" outlineLevel="0" collapsed="false">
      <c r="A34" s="0" t="s">
        <v>39</v>
      </c>
      <c r="B34" s="0" t="s">
        <v>58</v>
      </c>
      <c r="C34" s="4" t="n">
        <v>26619875000</v>
      </c>
      <c r="D34" s="4" t="n">
        <v>13489757596.9047</v>
      </c>
      <c r="E34" s="4" t="n">
        <v>1200</v>
      </c>
      <c r="F34" s="0" t="n">
        <v>1320</v>
      </c>
      <c r="G34" s="4" t="n">
        <v>2244.6</v>
      </c>
      <c r="H34" s="4" t="n">
        <v>1584000</v>
      </c>
      <c r="I34" s="4" t="n">
        <v>450000000</v>
      </c>
      <c r="J34" s="4" t="n">
        <v>584677319.134111</v>
      </c>
      <c r="K34" s="4" t="n">
        <v>-7559658850.11171</v>
      </c>
      <c r="L34" s="3" t="n">
        <v>0.0642486740879066</v>
      </c>
      <c r="M34" s="4" t="n">
        <v>-6765595813.94039</v>
      </c>
      <c r="N34" s="3" t="n">
        <v>0.0529618880571253</v>
      </c>
      <c r="O34" s="4" t="n">
        <v>2520769080.86589</v>
      </c>
      <c r="P34" s="0" t="s">
        <v>41</v>
      </c>
    </row>
    <row r="35" customFormat="false" ht="13.8" hidden="false" customHeight="false" outlineLevel="0" collapsed="false">
      <c r="A35" s="0" t="s">
        <v>18</v>
      </c>
      <c r="B35" s="0" t="s">
        <v>58</v>
      </c>
      <c r="C35" s="4" t="n">
        <v>21295900000</v>
      </c>
      <c r="D35" s="4" t="n">
        <v>13842335000</v>
      </c>
      <c r="E35" s="4" t="n">
        <v>1200</v>
      </c>
      <c r="F35" s="0" t="n">
        <v>1320</v>
      </c>
      <c r="G35" s="4" t="n">
        <v>2489.92096785317</v>
      </c>
      <c r="H35" s="4" t="n">
        <v>1584000</v>
      </c>
      <c r="I35" s="4" t="n">
        <v>450000000</v>
      </c>
      <c r="J35" s="4" t="n">
        <v>760061861.847508</v>
      </c>
      <c r="K35" s="4" t="n">
        <v>-514205739.629409</v>
      </c>
      <c r="L35" s="3" t="n">
        <v>0.115556613278706</v>
      </c>
      <c r="M35" s="4" t="n">
        <v>28102292.5332213</v>
      </c>
      <c r="N35" s="3" t="n">
        <v>0.140510514732061</v>
      </c>
      <c r="O35" s="4" t="n">
        <v>2733972951.23191</v>
      </c>
      <c r="P35" s="0" t="s">
        <v>42</v>
      </c>
    </row>
    <row r="36" customFormat="false" ht="13.8" hidden="false" customHeight="false" outlineLevel="0" collapsed="false">
      <c r="A36" s="0" t="s">
        <v>39</v>
      </c>
      <c r="B36" s="0" t="s">
        <v>59</v>
      </c>
      <c r="C36" s="4" t="n">
        <v>25510713541.6667</v>
      </c>
      <c r="D36" s="4" t="n">
        <v>12097364296.1146</v>
      </c>
      <c r="E36" s="4" t="n">
        <v>1150</v>
      </c>
      <c r="F36" s="0" t="n">
        <v>1320</v>
      </c>
      <c r="G36" s="4" t="n">
        <v>2104.53</v>
      </c>
      <c r="H36" s="4" t="n">
        <v>1518000</v>
      </c>
      <c r="I36" s="4" t="n">
        <v>431250000</v>
      </c>
      <c r="J36" s="4" t="n">
        <v>500314381.211286</v>
      </c>
      <c r="K36" s="4" t="n">
        <v>-8419581028.61517</v>
      </c>
      <c r="L36" s="3" t="n">
        <v>0.0542673492909626</v>
      </c>
      <c r="M36" s="4" t="n">
        <v>-7707624203.34755</v>
      </c>
      <c r="N36" s="3" t="n">
        <v>0.0392641127252641</v>
      </c>
      <c r="O36" s="4" t="n">
        <v>2263112158.78871</v>
      </c>
      <c r="P36" s="0" t="s">
        <v>41</v>
      </c>
    </row>
    <row r="37" customFormat="false" ht="13.8" hidden="false" customHeight="false" outlineLevel="0" collapsed="false">
      <c r="A37" s="0" t="s">
        <v>18</v>
      </c>
      <c r="B37" s="0" t="s">
        <v>59</v>
      </c>
      <c r="C37" s="4" t="n">
        <v>20408570833.3333</v>
      </c>
      <c r="D37" s="4" t="n">
        <v>13265571041.6667</v>
      </c>
      <c r="E37" s="4" t="n">
        <v>1150</v>
      </c>
      <c r="F37" s="0" t="n">
        <v>1320</v>
      </c>
      <c r="G37" s="4" t="n">
        <v>2526.17096785317</v>
      </c>
      <c r="H37" s="4" t="n">
        <v>1518000</v>
      </c>
      <c r="I37" s="4" t="n">
        <v>431250000</v>
      </c>
      <c r="J37" s="4" t="n">
        <v>743920925.82304</v>
      </c>
      <c r="K37" s="4" t="n">
        <v>-188715292.423107</v>
      </c>
      <c r="L37" s="3" t="n">
        <v>0.118303647077321</v>
      </c>
      <c r="M37" s="4" t="n">
        <v>266268024.477169</v>
      </c>
      <c r="N37" s="3" t="n">
        <v>0.144990604257733</v>
      </c>
      <c r="O37" s="4" t="n">
        <v>2659556603.37807</v>
      </c>
      <c r="P37" s="0" t="s">
        <v>42</v>
      </c>
    </row>
    <row r="38" customFormat="false" ht="13.8" hidden="false" customHeight="false" outlineLevel="0" collapsed="false">
      <c r="A38" s="0" t="s">
        <v>39</v>
      </c>
      <c r="B38" s="0" t="s">
        <v>60</v>
      </c>
      <c r="C38" s="4" t="n">
        <v>23292390625</v>
      </c>
      <c r="D38" s="4" t="n">
        <v>11874170039.1467</v>
      </c>
      <c r="E38" s="4" t="n">
        <v>1050</v>
      </c>
      <c r="F38" s="0" t="n">
        <v>1320</v>
      </c>
      <c r="G38" s="4" t="n">
        <v>2257.65</v>
      </c>
      <c r="H38" s="4" t="n">
        <v>1386000</v>
      </c>
      <c r="I38" s="4" t="n">
        <v>393750000</v>
      </c>
      <c r="J38" s="4" t="n">
        <v>516696741.639608</v>
      </c>
      <c r="K38" s="4" t="n">
        <v>-6514756581.98269</v>
      </c>
      <c r="L38" s="3" t="n">
        <v>0.0651617821432505</v>
      </c>
      <c r="M38" s="4" t="n">
        <v>-5815781460.68657</v>
      </c>
      <c r="N38" s="3" t="n">
        <v>0.0542624491793954</v>
      </c>
      <c r="O38" s="4" t="n">
        <v>2218656158.36039</v>
      </c>
      <c r="P38" s="0" t="s">
        <v>41</v>
      </c>
    </row>
    <row r="39" customFormat="false" ht="13.8" hidden="false" customHeight="false" outlineLevel="0" collapsed="false">
      <c r="A39" s="0" t="s">
        <v>18</v>
      </c>
      <c r="B39" s="0" t="s">
        <v>60</v>
      </c>
      <c r="C39" s="4" t="n">
        <v>18633912500</v>
      </c>
      <c r="D39" s="4" t="n">
        <v>12112043125</v>
      </c>
      <c r="E39" s="4" t="n">
        <v>1050</v>
      </c>
      <c r="F39" s="0" t="n">
        <v>1320</v>
      </c>
      <c r="G39" s="4" t="n">
        <v>2497.17096785317</v>
      </c>
      <c r="H39" s="4" t="n">
        <v>1386000</v>
      </c>
      <c r="I39" s="4" t="n">
        <v>393750000</v>
      </c>
      <c r="J39" s="4" t="n">
        <v>667889733.226159</v>
      </c>
      <c r="K39" s="4" t="n">
        <v>-394405071.139576</v>
      </c>
      <c r="L39" s="3" t="n">
        <v>0.116107403986949</v>
      </c>
      <c r="M39" s="4" t="n">
        <v>68294461.4169205</v>
      </c>
      <c r="N39" s="3" t="n">
        <v>0.141414661755767</v>
      </c>
      <c r="O39" s="4" t="n">
        <v>2399439228.21833</v>
      </c>
      <c r="P39" s="0" t="s">
        <v>42</v>
      </c>
    </row>
    <row r="40" customFormat="false" ht="13.8" hidden="false" customHeight="false" outlineLevel="0" collapsed="false">
      <c r="A40" s="0" t="s">
        <v>39</v>
      </c>
      <c r="B40" s="0" t="s">
        <v>61</v>
      </c>
      <c r="C40" s="4" t="n">
        <v>23292390625</v>
      </c>
      <c r="D40" s="4" t="n">
        <v>11977573592.2733</v>
      </c>
      <c r="E40" s="4" t="n">
        <v>1050</v>
      </c>
      <c r="F40" s="0" t="n">
        <v>1420</v>
      </c>
      <c r="G40" s="4" t="n">
        <v>2116.42</v>
      </c>
      <c r="H40" s="4" t="n">
        <v>1491000</v>
      </c>
      <c r="I40" s="4" t="n">
        <v>393750000</v>
      </c>
      <c r="J40" s="4" t="n">
        <v>524168988.105361</v>
      </c>
      <c r="K40" s="4" t="n">
        <v>-6368439923.13108</v>
      </c>
      <c r="L40" s="3" t="n">
        <v>0.0664936486800986</v>
      </c>
      <c r="M40" s="4" t="n">
        <v>-5663360085.9152</v>
      </c>
      <c r="N40" s="3" t="n">
        <v>0.056175017588194</v>
      </c>
      <c r="O40" s="4" t="n">
        <v>2237663231.89464</v>
      </c>
      <c r="P40" s="0" t="s">
        <v>41</v>
      </c>
    </row>
    <row r="41" customFormat="false" ht="13.8" hidden="false" customHeight="false" outlineLevel="0" collapsed="false">
      <c r="A41" s="0" t="s">
        <v>18</v>
      </c>
      <c r="B41" s="0" t="s">
        <v>61</v>
      </c>
      <c r="C41" s="4" t="n">
        <v>18633912500</v>
      </c>
      <c r="D41" s="4" t="n">
        <v>12112043125</v>
      </c>
      <c r="E41" s="4" t="n">
        <v>1050</v>
      </c>
      <c r="F41" s="0" t="n">
        <v>1420</v>
      </c>
      <c r="G41" s="4" t="n">
        <v>2445.8913222297</v>
      </c>
      <c r="H41" s="4" t="n">
        <v>1491000</v>
      </c>
      <c r="I41" s="4" t="n">
        <v>393750000</v>
      </c>
      <c r="J41" s="4" t="n">
        <v>720305445.554925</v>
      </c>
      <c r="K41" s="4" t="n">
        <v>631965235.892133</v>
      </c>
      <c r="L41" s="3" t="n">
        <v>0.126167823045989</v>
      </c>
      <c r="M41" s="4" t="n">
        <v>876822566.266868</v>
      </c>
      <c r="N41" s="3" t="n">
        <v>0.157444131016051</v>
      </c>
      <c r="O41" s="4" t="n">
        <v>2532768515.88956</v>
      </c>
      <c r="P41" s="0" t="s">
        <v>42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3.8" hidden="false" customHeight="false" outlineLevel="0" collapsed="false">
      <c r="A1" s="2" t="s">
        <v>23</v>
      </c>
      <c r="B1" s="2" t="s">
        <v>24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  <c r="M1" s="2" t="s">
        <v>72</v>
      </c>
      <c r="N1" s="2" t="s">
        <v>73</v>
      </c>
      <c r="O1" s="2" t="s">
        <v>74</v>
      </c>
      <c r="P1" s="2" t="s">
        <v>75</v>
      </c>
      <c r="Q1" s="2" t="s">
        <v>76</v>
      </c>
      <c r="R1" s="2" t="s">
        <v>77</v>
      </c>
      <c r="S1" s="2" t="s">
        <v>78</v>
      </c>
      <c r="T1" s="2" t="s">
        <v>79</v>
      </c>
      <c r="U1" s="2" t="s">
        <v>80</v>
      </c>
      <c r="V1" s="2" t="s">
        <v>81</v>
      </c>
      <c r="W1" s="2" t="s">
        <v>82</v>
      </c>
      <c r="X1" s="2" t="s">
        <v>83</v>
      </c>
      <c r="Y1" s="2" t="s">
        <v>84</v>
      </c>
      <c r="Z1" s="2" t="s">
        <v>85</v>
      </c>
      <c r="AA1" s="2" t="s">
        <v>86</v>
      </c>
      <c r="AB1" s="2" t="s">
        <v>87</v>
      </c>
      <c r="AC1" s="2" t="s">
        <v>88</v>
      </c>
      <c r="AD1" s="2" t="s">
        <v>89</v>
      </c>
      <c r="AE1" s="2" t="s">
        <v>90</v>
      </c>
      <c r="AF1" s="2" t="s">
        <v>91</v>
      </c>
      <c r="AG1" s="2" t="s">
        <v>92</v>
      </c>
      <c r="AH1" s="2" t="s">
        <v>93</v>
      </c>
    </row>
    <row r="2" customFormat="false" ht="13.8" hidden="false" customHeight="false" outlineLevel="0" collapsed="false">
      <c r="A2" s="0" t="str">
        <f aca="false">CalcInputs!A2</f>
        <v>CURRENT_TERMS</v>
      </c>
      <c r="B2" s="0" t="str">
        <f aca="false">CalcInputs!B2</f>
        <v>VG-001</v>
      </c>
      <c r="C2" s="4" t="n">
        <f aca="false">-CalcInputs!C2</f>
        <v>-31056520833.3333</v>
      </c>
      <c r="D2" s="4" t="n">
        <f aca="false">CalcInputs!O2</f>
        <v>2723548664.84582</v>
      </c>
      <c r="E2" s="4" t="n">
        <f aca="false">CalcInputs!P2</f>
        <v>3044857304.84418</v>
      </c>
      <c r="F2" s="4" t="n">
        <f aca="false">CalcInputs!Q2</f>
        <v>3051584030.00779</v>
      </c>
      <c r="G2" s="4" t="n">
        <f aca="false">CalcInputs!R2</f>
        <v>3058215104.06095</v>
      </c>
      <c r="H2" s="4" t="n">
        <f aca="false">CalcInputs!S2</f>
        <v>2920967285.51947</v>
      </c>
      <c r="I2" s="4" t="n">
        <f aca="false">CalcInputs!T2</f>
        <v>3071178022.38304</v>
      </c>
      <c r="J2" s="4" t="n">
        <f aca="false">CalcInputs!U2</f>
        <v>3077503560.34144</v>
      </c>
      <c r="K2" s="4" t="n">
        <f aca="false">CalcInputs!V2</f>
        <v>3083720831.81759</v>
      </c>
      <c r="L2" s="4" t="n">
        <f aca="false">CalcInputs!W2</f>
        <v>3089826509.3345</v>
      </c>
      <c r="M2" s="4" t="n">
        <f aca="false">CalcInputs!X2</f>
        <v>2952037004.06981</v>
      </c>
      <c r="N2" s="4" t="n">
        <f aca="false">CalcInputs!Y2</f>
        <v>3101689409.5973</v>
      </c>
      <c r="O2" s="4" t="n">
        <f aca="false">CalcInputs!Z2</f>
        <v>3107439609.95065</v>
      </c>
      <c r="P2" s="4" t="n">
        <f aca="false">CalcInputs!AA2</f>
        <v>3113064168.52117</v>
      </c>
      <c r="Q2" s="4" t="n">
        <f aca="false">CalcInputs!AB2</f>
        <v>3118559381.27655</v>
      </c>
      <c r="R2" s="4" t="n">
        <f aca="false">CalcInputs!AC2</f>
        <v>3462588263.926</v>
      </c>
      <c r="S2" s="4" t="n">
        <f aca="false">-(CalcInputs!C2-CalcInputs!D2)</f>
        <v>-16500904678.3709</v>
      </c>
      <c r="T2" s="4" t="n">
        <f aca="false">D2-CalcInputs!AD2</f>
        <v>628511230.349036</v>
      </c>
      <c r="U2" s="4" t="n">
        <f aca="false">D2-CalcInputs!AE2</f>
        <v>702659378.040964</v>
      </c>
      <c r="V2" s="4" t="n">
        <f aca="false">D2-CalcInputs!AF2</f>
        <v>704211699.232566</v>
      </c>
      <c r="W2" s="4" t="n">
        <f aca="false">D2-CalcInputs!AG2</f>
        <v>705741947.090989</v>
      </c>
      <c r="X2" s="4" t="n">
        <f aca="false">D2-CalcInputs!AH2</f>
        <v>674069373.581417</v>
      </c>
      <c r="Y2" s="4" t="n">
        <f aca="false">D2-CalcInputs!AI2</f>
        <v>708733389.780701</v>
      </c>
      <c r="Z2" s="4" t="n">
        <f aca="false">D2-CalcInputs!AJ2</f>
        <v>710193129.309563</v>
      </c>
      <c r="AA2" s="4" t="n">
        <f aca="false">D2-CalcInputs!AK2</f>
        <v>711627884.265598</v>
      </c>
      <c r="AB2" s="4" t="n">
        <f aca="false">D2-CalcInputs!AL2</f>
        <v>713036886.769501</v>
      </c>
      <c r="AC2" s="4" t="n">
        <f aca="false">D2-CalcInputs!AM2</f>
        <v>1947008812.98826</v>
      </c>
      <c r="AD2" s="4" t="n">
        <f aca="false">D2</f>
        <v>3101689409.5973</v>
      </c>
      <c r="AE2" s="4" t="n">
        <f aca="false">D2</f>
        <v>3107439609.95065</v>
      </c>
      <c r="AF2" s="4" t="n">
        <f aca="false">D2</f>
        <v>3113064168.52117</v>
      </c>
      <c r="AG2" s="4" t="n">
        <f aca="false">D2</f>
        <v>3118559381.27655</v>
      </c>
      <c r="AH2" s="4" t="n">
        <f aca="false">D2</f>
        <v>3462588263.926</v>
      </c>
    </row>
    <row r="3" customFormat="false" ht="13.8" hidden="false" customHeight="false" outlineLevel="0" collapsed="false">
      <c r="A3" s="0" t="str">
        <f aca="false">CalcInputs!A3</f>
        <v>NEGOTIATED_TERMS</v>
      </c>
      <c r="B3" s="0" t="str">
        <f aca="false">CalcInputs!B3</f>
        <v>VG-001</v>
      </c>
      <c r="C3" s="4" t="n">
        <f aca="false">-CalcInputs!C3</f>
        <v>-24845216666.6667</v>
      </c>
      <c r="D3" s="4" t="n">
        <f aca="false">CalcInputs!O3</f>
        <v>3218486693.3322</v>
      </c>
      <c r="E3" s="4" t="n">
        <f aca="false">CalcInputs!P3</f>
        <v>3608077619.16866</v>
      </c>
      <c r="F3" s="4" t="n">
        <f aca="false">CalcInputs!Q3</f>
        <v>3617971864.58725</v>
      </c>
      <c r="G3" s="4" t="n">
        <f aca="false">CalcInputs!R3</f>
        <v>3627786138.12066</v>
      </c>
      <c r="H3" s="4" t="n">
        <f aca="false">CalcInputs!S3</f>
        <v>3522493313.7055</v>
      </c>
      <c r="I3" s="4" t="n">
        <f aca="false">CalcInputs!T3</f>
        <v>3647162803.91186</v>
      </c>
      <c r="J3" s="4" t="n">
        <f aca="false">CalcInputs!U3</f>
        <v>3656719046.2379</v>
      </c>
      <c r="K3" s="4" t="n">
        <f aca="false">CalcInputs!V3</f>
        <v>3666183014.06832</v>
      </c>
      <c r="L3" s="4" t="n">
        <f aca="false">CalcInputs!W3</f>
        <v>3675551459.08645</v>
      </c>
      <c r="M3" s="4" t="n">
        <f aca="false">CalcInputs!X3</f>
        <v>3569796909.83074</v>
      </c>
      <c r="N3" s="4" t="n">
        <f aca="false">CalcInputs!Y3</f>
        <v>3693988426.39503</v>
      </c>
      <c r="O3" s="4" t="n">
        <f aca="false">CalcInputs!Z3</f>
        <v>3703050086.5806</v>
      </c>
      <c r="P3" s="4" t="n">
        <f aca="false">CalcInputs!AA3</f>
        <v>3712002496.70952</v>
      </c>
      <c r="Q3" s="4" t="n">
        <f aca="false">CalcInputs!AB3</f>
        <v>3720842033.8885</v>
      </c>
      <c r="R3" s="4" t="n">
        <f aca="false">CalcInputs!AC3</f>
        <v>4138369305.9355</v>
      </c>
      <c r="S3" s="4" t="n">
        <f aca="false">-(CalcInputs!C3-CalcInputs!D3)</f>
        <v>-8695825833.33333</v>
      </c>
      <c r="T3" s="4" t="n">
        <f aca="false">D3-CalcInputs!AD3</f>
        <v>742727698.461277</v>
      </c>
      <c r="U3" s="4" t="n">
        <f aca="false">D3-CalcInputs!AE3</f>
        <v>832633296.73123</v>
      </c>
      <c r="V3" s="4" t="n">
        <f aca="false">D3-CalcInputs!AF3</f>
        <v>834916584.13552</v>
      </c>
      <c r="W3" s="4" t="n">
        <f aca="false">D3-CalcInputs!AG3</f>
        <v>837181416.489384</v>
      </c>
      <c r="X3" s="4" t="n">
        <f aca="false">D3-CalcInputs!AH3</f>
        <v>812883072.393576</v>
      </c>
      <c r="Y3" s="4" t="n">
        <f aca="false">D3-CalcInputs!AI3</f>
        <v>841652954.748891</v>
      </c>
      <c r="Z3" s="4" t="n">
        <f aca="false">D3-CalcInputs!AJ3</f>
        <v>843858241.439516</v>
      </c>
      <c r="AA3" s="4" t="n">
        <f aca="false">D3-CalcInputs!AK3</f>
        <v>846042234.015765</v>
      </c>
      <c r="AB3" s="4" t="n">
        <f aca="false">D3-CalcInputs!AL3</f>
        <v>2136818604.97681</v>
      </c>
      <c r="AC3" s="4" t="n">
        <f aca="false">D3-CalcInputs!AM3</f>
        <v>3569796909.83074</v>
      </c>
      <c r="AD3" s="4" t="n">
        <f aca="false">D3</f>
        <v>3693988426.39503</v>
      </c>
      <c r="AE3" s="4" t="n">
        <f aca="false">D3</f>
        <v>3703050086.5806</v>
      </c>
      <c r="AF3" s="4" t="n">
        <f aca="false">D3</f>
        <v>3712002496.70952</v>
      </c>
      <c r="AG3" s="4" t="n">
        <f aca="false">D3</f>
        <v>3720842033.8885</v>
      </c>
      <c r="AH3" s="4" t="n">
        <f aca="false">D3</f>
        <v>4138369305.9355</v>
      </c>
    </row>
    <row r="4" customFormat="false" ht="13.8" hidden="false" customHeight="false" outlineLevel="0" collapsed="false">
      <c r="A4" s="0" t="str">
        <f aca="false">CalcInputs!A4</f>
        <v>CURRENT_TERMS</v>
      </c>
      <c r="B4" s="0" t="str">
        <f aca="false">CalcInputs!B4</f>
        <v>VG-002</v>
      </c>
      <c r="C4" s="4" t="n">
        <f aca="false">-CalcInputs!C4</f>
        <v>-33274843750</v>
      </c>
      <c r="D4" s="4" t="n">
        <f aca="false">CalcInputs!O4</f>
        <v>3036379347.79469</v>
      </c>
      <c r="E4" s="4" t="n">
        <f aca="false">CalcInputs!P4</f>
        <v>3394768975.22143</v>
      </c>
      <c r="F4" s="4" t="n">
        <f aca="false">CalcInputs!Q4</f>
        <v>3402631668.97516</v>
      </c>
      <c r="G4" s="4" t="n">
        <f aca="false">CalcInputs!R4</f>
        <v>3410395124.06298</v>
      </c>
      <c r="H4" s="4" t="n">
        <f aca="false">CalcInputs!S4</f>
        <v>3264005883.52718</v>
      </c>
      <c r="I4" s="4" t="n">
        <f aca="false">CalcInputs!T4</f>
        <v>3425611229.22233</v>
      </c>
      <c r="J4" s="4" t="n">
        <f aca="false">CalcInputs!U4</f>
        <v>3433057154.8937</v>
      </c>
      <c r="K4" s="4" t="n">
        <f aca="false">CalcInputs!V4</f>
        <v>3440390390.15235</v>
      </c>
      <c r="L4" s="4" t="n">
        <f aca="false">CalcInputs!W4</f>
        <v>3447607386.22584</v>
      </c>
      <c r="M4" s="4" t="n">
        <f aca="false">CalcInputs!X4</f>
        <v>3300654314.40991</v>
      </c>
      <c r="N4" s="4" t="n">
        <f aca="false">CalcInputs!Y4</f>
        <v>3461678077.22053</v>
      </c>
      <c r="O4" s="4" t="n">
        <f aca="false">CalcInputs!Z4</f>
        <v>3468524281.31975</v>
      </c>
      <c r="P4" s="4" t="n">
        <f aca="false">CalcInputs!AA4</f>
        <v>3475239261.33507</v>
      </c>
      <c r="Q4" s="4" t="n">
        <f aca="false">CalcInputs!AB4</f>
        <v>3481819065.45139</v>
      </c>
      <c r="R4" s="4" t="n">
        <f aca="false">CalcInputs!AC4</f>
        <v>3865631233.0763</v>
      </c>
      <c r="S4" s="4" t="n">
        <f aca="false">-(CalcInputs!C4-CalcInputs!D4)</f>
        <v>-17036003434.3683</v>
      </c>
      <c r="T4" s="4" t="n">
        <f aca="false">D4-CalcInputs!AD4</f>
        <v>700702926.414159</v>
      </c>
      <c r="U4" s="4" t="n">
        <f aca="false">D4-CalcInputs!AE4</f>
        <v>783408225.051099</v>
      </c>
      <c r="V4" s="4" t="n">
        <f aca="false">D4-CalcInputs!AF4</f>
        <v>785222692.840423</v>
      </c>
      <c r="W4" s="4" t="n">
        <f aca="false">D4-CalcInputs!AG4</f>
        <v>787014259.399149</v>
      </c>
      <c r="X4" s="4" t="n">
        <f aca="false">D4-CalcInputs!AH4</f>
        <v>753232126.967812</v>
      </c>
      <c r="Y4" s="4" t="n">
        <f aca="false">D4-CalcInputs!AI4</f>
        <v>790525668.282077</v>
      </c>
      <c r="Z4" s="4" t="n">
        <f aca="false">D4-CalcInputs!AJ4</f>
        <v>792243958.821623</v>
      </c>
      <c r="AA4" s="4" t="n">
        <f aca="false">D4-CalcInputs!AK4</f>
        <v>793936243.881311</v>
      </c>
      <c r="AB4" s="4" t="n">
        <f aca="false">D4-CalcInputs!AL4</f>
        <v>795601704.513655</v>
      </c>
      <c r="AC4" s="4" t="n">
        <f aca="false">D4-CalcInputs!AM4</f>
        <v>2173833652.15553</v>
      </c>
      <c r="AD4" s="4" t="n">
        <f aca="false">D4</f>
        <v>3461678077.22053</v>
      </c>
      <c r="AE4" s="4" t="n">
        <f aca="false">D4</f>
        <v>3468524281.31975</v>
      </c>
      <c r="AF4" s="4" t="n">
        <f aca="false">D4</f>
        <v>3475239261.33507</v>
      </c>
      <c r="AG4" s="4" t="n">
        <f aca="false">D4</f>
        <v>3481819065.45139</v>
      </c>
      <c r="AH4" s="4" t="n">
        <f aca="false">D4</f>
        <v>3865631233.0763</v>
      </c>
    </row>
    <row r="5" customFormat="false" ht="13.8" hidden="false" customHeight="false" outlineLevel="0" collapsed="false">
      <c r="A5" s="0" t="str">
        <f aca="false">CalcInputs!A5</f>
        <v>NEGOTIATED_TERMS</v>
      </c>
      <c r="B5" s="0" t="str">
        <f aca="false">CalcInputs!B5</f>
        <v>VG-002</v>
      </c>
      <c r="C5" s="4" t="n">
        <f aca="false">-CalcInputs!C5</f>
        <v>-26619875000</v>
      </c>
      <c r="D5" s="4" t="n">
        <f aca="false">CalcInputs!O5</f>
        <v>3520507558.9029</v>
      </c>
      <c r="E5" s="4" t="n">
        <f aca="false">CalcInputs!P5</f>
        <v>3946542487.45586</v>
      </c>
      <c r="F5" s="4" t="n">
        <f aca="false">CalcInputs!Q5</f>
        <v>3957543152.62988</v>
      </c>
      <c r="G5" s="4" t="n">
        <f aca="false">CalcInputs!R5</f>
        <v>3968460112.09651</v>
      </c>
      <c r="H5" s="4" t="n">
        <f aca="false">CalcInputs!S5</f>
        <v>3856050026.29546</v>
      </c>
      <c r="I5" s="4" t="n">
        <f aca="false">CalcInputs!T5</f>
        <v>3990030132.82225</v>
      </c>
      <c r="J5" s="4" t="n">
        <f aca="false">CalcInputs!U5</f>
        <v>4000676624.60116</v>
      </c>
      <c r="K5" s="4" t="n">
        <f aca="false">CalcInputs!V5</f>
        <v>4011226268.76958</v>
      </c>
      <c r="L5" s="4" t="n">
        <f aca="false">CalcInputs!W5</f>
        <v>4021675594.97695</v>
      </c>
      <c r="M5" s="4" t="n">
        <f aca="false">CalcInputs!X5</f>
        <v>3908780893.83832</v>
      </c>
      <c r="N5" s="4" t="n">
        <f aca="false">CalcInputs!Y5</f>
        <v>4042259025.54206</v>
      </c>
      <c r="O5" s="4" t="n">
        <f aca="false">CalcInputs!Z5</f>
        <v>4052385797.87019</v>
      </c>
      <c r="P5" s="4" t="n">
        <f aca="false">CalcInputs!AA5</f>
        <v>4062397584.92715</v>
      </c>
      <c r="Q5" s="4" t="n">
        <f aca="false">CalcInputs!AB5</f>
        <v>4072290515.27998</v>
      </c>
      <c r="R5" s="4" t="n">
        <f aca="false">CalcInputs!AC5</f>
        <v>4528915428.14423</v>
      </c>
      <c r="S5" s="4" t="n">
        <f aca="false">-(CalcInputs!C5-CalcInputs!D5)</f>
        <v>-9316956250</v>
      </c>
      <c r="T5" s="4" t="n">
        <f aca="false">D5-CalcInputs!AD5</f>
        <v>812424821.285284</v>
      </c>
      <c r="U5" s="4" t="n">
        <f aca="false">D5-CalcInputs!AE5</f>
        <v>910740574.028276</v>
      </c>
      <c r="V5" s="4" t="n">
        <f aca="false">D5-CalcInputs!AF5</f>
        <v>913279189.068433</v>
      </c>
      <c r="W5" s="4" t="n">
        <f aca="false">D5-CalcInputs!AG5</f>
        <v>915798487.406886</v>
      </c>
      <c r="X5" s="4" t="n">
        <f aca="false">D5-CalcInputs!AH5</f>
        <v>889857698.375875</v>
      </c>
      <c r="Y5" s="4" t="n">
        <f aca="false">D5-CalcInputs!AI5</f>
        <v>920776184.497443</v>
      </c>
      <c r="Z5" s="4" t="n">
        <f aca="false">D5-CalcInputs!AJ5</f>
        <v>923233067.215653</v>
      </c>
      <c r="AA5" s="4" t="n">
        <f aca="false">D5-CalcInputs!AK5</f>
        <v>925667600.485288</v>
      </c>
      <c r="AB5" s="4" t="n">
        <f aca="false">D5-CalcInputs!AL5</f>
        <v>3098341889.50259</v>
      </c>
      <c r="AC5" s="4" t="n">
        <f aca="false">D5-CalcInputs!AM5</f>
        <v>3908780893.83832</v>
      </c>
      <c r="AD5" s="4" t="n">
        <f aca="false">D5</f>
        <v>4042259025.54206</v>
      </c>
      <c r="AE5" s="4" t="n">
        <f aca="false">D5</f>
        <v>4052385797.87019</v>
      </c>
      <c r="AF5" s="4" t="n">
        <f aca="false">D5</f>
        <v>4062397584.92715</v>
      </c>
      <c r="AG5" s="4" t="n">
        <f aca="false">D5</f>
        <v>4072290515.27998</v>
      </c>
      <c r="AH5" s="4" t="n">
        <f aca="false">D5</f>
        <v>4528915428.14423</v>
      </c>
    </row>
    <row r="6" customFormat="false" ht="13.8" hidden="false" customHeight="false" outlineLevel="0" collapsed="false">
      <c r="A6" s="0" t="str">
        <f aca="false">CalcInputs!A6</f>
        <v>CURRENT_TERMS</v>
      </c>
      <c r="B6" s="0" t="str">
        <f aca="false">CalcInputs!B6</f>
        <v>VG-003</v>
      </c>
      <c r="C6" s="4" t="n">
        <f aca="false">-CalcInputs!C6</f>
        <v>-24401552083.3333</v>
      </c>
      <c r="D6" s="4" t="n">
        <f aca="false">CalcInputs!O6</f>
        <v>2177108420.054</v>
      </c>
      <c r="E6" s="4" t="n">
        <f aca="false">CalcInputs!P6</f>
        <v>2434006182.14249</v>
      </c>
      <c r="F6" s="4" t="n">
        <f aca="false">CalcInputs!Q6</f>
        <v>2439497476.78345</v>
      </c>
      <c r="G6" s="4" t="n">
        <f aca="false">CalcInputs!R6</f>
        <v>2444914636.73287</v>
      </c>
      <c r="H6" s="4" t="n">
        <f aca="false">CalcInputs!S6</f>
        <v>2337285120.1581</v>
      </c>
      <c r="I6" s="4" t="n">
        <f aca="false">CalcInputs!T6</f>
        <v>2455516926.98879</v>
      </c>
      <c r="J6" s="4" t="n">
        <f aca="false">CalcInputs!U6</f>
        <v>2460697112.50765</v>
      </c>
      <c r="K6" s="4" t="n">
        <f aca="false">CalcInputs!V6</f>
        <v>2465793271.59863</v>
      </c>
      <c r="L6" s="4" t="n">
        <f aca="false">CalcInputs!W6</f>
        <v>2470802794.96402</v>
      </c>
      <c r="M6" s="4" t="n">
        <f aca="false">CalcInputs!X6</f>
        <v>2362752867.98874</v>
      </c>
      <c r="N6" s="4" t="n">
        <f aca="false">CalcInputs!Y6</f>
        <v>2480551212.25177</v>
      </c>
      <c r="O6" s="4" t="n">
        <f aca="false">CalcInputs!Z6</f>
        <v>2485284599.00487</v>
      </c>
      <c r="P6" s="4" t="n">
        <f aca="false">CalcInputs!AA6</f>
        <v>2489920333.30665</v>
      </c>
      <c r="Q6" s="4" t="n">
        <f aca="false">CalcInputs!AB6</f>
        <v>2494455510.12318</v>
      </c>
      <c r="R6" s="4" t="n">
        <f aca="false">CalcInputs!AC6</f>
        <v>2769544138.68871</v>
      </c>
      <c r="S6" s="4" t="n">
        <f aca="false">-(CalcInputs!C6-CalcInputs!D6)</f>
        <v>-12762741955.3761</v>
      </c>
      <c r="T6" s="4" t="n">
        <f aca="false">D6-CalcInputs!AD6</f>
        <v>502409635.397078</v>
      </c>
      <c r="U6" s="4" t="n">
        <f aca="false">D6-CalcInputs!AE6</f>
        <v>561693734.340574</v>
      </c>
      <c r="V6" s="4" t="n">
        <f aca="false">D6-CalcInputs!AF6</f>
        <v>562960956.180795</v>
      </c>
      <c r="W6" s="4" t="n">
        <f aca="false">D6-CalcInputs!AG6</f>
        <v>564211070.015279</v>
      </c>
      <c r="X6" s="4" t="n">
        <f aca="false">D6-CalcInputs!AH6</f>
        <v>539373489.267254</v>
      </c>
      <c r="Y6" s="4" t="n">
        <f aca="false">D6-CalcInputs!AI6</f>
        <v>566657752.382029</v>
      </c>
      <c r="Z6" s="4" t="n">
        <f aca="false">D6-CalcInputs!AJ6</f>
        <v>567853179.809457</v>
      </c>
      <c r="AA6" s="4" t="n">
        <f aca="false">D6-CalcInputs!AK6</f>
        <v>569029216.522762</v>
      </c>
      <c r="AB6" s="4" t="n">
        <f aca="false">D6-CalcInputs!AL6</f>
        <v>570185260.376312</v>
      </c>
      <c r="AC6" s="4" t="n">
        <f aca="false">D6-CalcInputs!AM6</f>
        <v>1557372084.26402</v>
      </c>
      <c r="AD6" s="4" t="n">
        <f aca="false">D6</f>
        <v>2480551212.25177</v>
      </c>
      <c r="AE6" s="4" t="n">
        <f aca="false">D6</f>
        <v>2485284599.00487</v>
      </c>
      <c r="AF6" s="4" t="n">
        <f aca="false">D6</f>
        <v>2489920333.30665</v>
      </c>
      <c r="AG6" s="4" t="n">
        <f aca="false">D6</f>
        <v>2494455510.12318</v>
      </c>
      <c r="AH6" s="4" t="n">
        <f aca="false">D6</f>
        <v>2769544138.68871</v>
      </c>
    </row>
    <row r="7" customFormat="false" ht="13.8" hidden="false" customHeight="false" outlineLevel="0" collapsed="false">
      <c r="A7" s="0" t="str">
        <f aca="false">CalcInputs!A7</f>
        <v>NEGOTIATED_TERMS</v>
      </c>
      <c r="B7" s="0" t="str">
        <f aca="false">CalcInputs!B7</f>
        <v>VG-003</v>
      </c>
      <c r="C7" s="4" t="n">
        <f aca="false">-CalcInputs!C7</f>
        <v>-19521241666.6667</v>
      </c>
      <c r="D7" s="4" t="n">
        <f aca="false">CalcInputs!O7</f>
        <v>2551480074.70231</v>
      </c>
      <c r="E7" s="4" t="n">
        <f aca="false">CalcInputs!P7</f>
        <v>2860295141.39859</v>
      </c>
      <c r="F7" s="4" t="n">
        <f aca="false">CalcInputs!Q7</f>
        <v>2868194807.58</v>
      </c>
      <c r="G7" s="4" t="n">
        <f aca="false">CalcInputs!R7</f>
        <v>2876032260.509</v>
      </c>
      <c r="H7" s="4" t="n">
        <f aca="false">CalcInputs!S7</f>
        <v>2793429047.07084</v>
      </c>
      <c r="I7" s="4" t="n">
        <f aca="false">CalcInputs!T7</f>
        <v>2891511137.37804</v>
      </c>
      <c r="J7" s="4" t="n">
        <f aca="false">CalcInputs!U7</f>
        <v>2899147735.43045</v>
      </c>
      <c r="K7" s="4" t="n">
        <f aca="false">CalcInputs!V7</f>
        <v>2906712466.29703</v>
      </c>
      <c r="L7" s="4" t="n">
        <f aca="false">CalcInputs!W7</f>
        <v>2914202780.8683</v>
      </c>
      <c r="M7" s="4" t="n">
        <f aca="false">CalcInputs!X7</f>
        <v>2831239954.72218</v>
      </c>
      <c r="N7" s="4" t="n">
        <f aca="false">CalcInputs!Y7</f>
        <v>2928949681.10282</v>
      </c>
      <c r="O7" s="4" t="n">
        <f aca="false">CalcInputs!Z7</f>
        <v>2936200881.46886</v>
      </c>
      <c r="P7" s="4" t="n">
        <f aca="false">CalcInputs!AA7</f>
        <v>2943366892.56097</v>
      </c>
      <c r="Q7" s="4" t="n">
        <f aca="false">CalcInputs!AB7</f>
        <v>2950444871.03794</v>
      </c>
      <c r="R7" s="4" t="n">
        <f aca="false">CalcInputs!AC7</f>
        <v>3281416782.12249</v>
      </c>
      <c r="S7" s="4" t="n">
        <f aca="false">-(CalcInputs!C7-CalcInputs!D7)</f>
        <v>-6832434583.33333</v>
      </c>
      <c r="T7" s="4" t="n">
        <f aca="false">D7-CalcInputs!AD7</f>
        <v>588803094.162072</v>
      </c>
      <c r="U7" s="4" t="n">
        <f aca="false">D7-CalcInputs!AE7</f>
        <v>660068109.553521</v>
      </c>
      <c r="V7" s="4" t="n">
        <f aca="false">D7-CalcInputs!AF7</f>
        <v>661891109.441538</v>
      </c>
      <c r="W7" s="4" t="n">
        <f aca="false">D7-CalcInputs!AG7</f>
        <v>663699752.425154</v>
      </c>
      <c r="X7" s="4" t="n">
        <f aca="false">D7-CalcInputs!AH7</f>
        <v>644637472.400963</v>
      </c>
      <c r="Y7" s="4" t="n">
        <f aca="false">D7-CalcInputs!AI7</f>
        <v>667271800.933393</v>
      </c>
      <c r="Z7" s="4" t="n">
        <f aca="false">D7-CalcInputs!AJ7</f>
        <v>669034092.791642</v>
      </c>
      <c r="AA7" s="4" t="n">
        <f aca="false">D7-CalcInputs!AK7</f>
        <v>670779799.9147</v>
      </c>
      <c r="AB7" s="4" t="n">
        <f aca="false">D7-CalcInputs!AL7</f>
        <v>1933152538.93532</v>
      </c>
      <c r="AC7" s="4" t="n">
        <f aca="false">D7-CalcInputs!AM7</f>
        <v>2831239954.72218</v>
      </c>
      <c r="AD7" s="4" t="n">
        <f aca="false">D7</f>
        <v>2928949681.10282</v>
      </c>
      <c r="AE7" s="4" t="n">
        <f aca="false">D7</f>
        <v>2936200881.46886</v>
      </c>
      <c r="AF7" s="4" t="n">
        <f aca="false">D7</f>
        <v>2943366892.56097</v>
      </c>
      <c r="AG7" s="4" t="n">
        <f aca="false">D7</f>
        <v>2950444871.03794</v>
      </c>
      <c r="AH7" s="4" t="n">
        <f aca="false">D7</f>
        <v>3281416782.12249</v>
      </c>
    </row>
    <row r="8" customFormat="false" ht="13.8" hidden="false" customHeight="false" outlineLevel="0" collapsed="false">
      <c r="A8" s="0" t="str">
        <f aca="false">CalcInputs!A8</f>
        <v>CURRENT_TERMS</v>
      </c>
      <c r="B8" s="0" t="str">
        <f aca="false">CalcInputs!B8</f>
        <v>VG-004</v>
      </c>
      <c r="C8" s="4" t="n">
        <f aca="false">-CalcInputs!C8</f>
        <v>-32165682291.6667</v>
      </c>
      <c r="D8" s="4" t="n">
        <f aca="false">CalcInputs!O8</f>
        <v>2974212512.62163</v>
      </c>
      <c r="E8" s="4" t="n">
        <f aca="false">CalcInputs!P8</f>
        <v>3325319990.139</v>
      </c>
      <c r="F8" s="4" t="n">
        <f aca="false">CalcInputs!Q8</f>
        <v>3333136958.50569</v>
      </c>
      <c r="G8" s="4" t="n">
        <f aca="false">CalcInputs!R8</f>
        <v>3340859067.16581</v>
      </c>
      <c r="H8" s="4" t="n">
        <f aca="false">CalcInputs!S8</f>
        <v>3199567979.69503</v>
      </c>
      <c r="I8" s="4" t="n">
        <f aca="false">CalcInputs!T8</f>
        <v>3356006073.88049</v>
      </c>
      <c r="J8" s="4" t="n">
        <f aca="false">CalcInputs!U8</f>
        <v>3363424482.36336</v>
      </c>
      <c r="K8" s="4" t="n">
        <f aca="false">CalcInputs!V8</f>
        <v>3370735049.14825</v>
      </c>
      <c r="L8" s="4" t="n">
        <f aca="false">CalcInputs!W8</f>
        <v>3377934349.16236</v>
      </c>
      <c r="M8" s="4" t="n">
        <f aca="false">CalcInputs!X8</f>
        <v>3236103686.75889</v>
      </c>
      <c r="N8" s="4" t="n">
        <f aca="false">CalcInputs!Y8</f>
        <v>3391985073.16417</v>
      </c>
      <c r="O8" s="4" t="n">
        <f aca="false">CalcInputs!Z8</f>
        <v>3398829266.97274</v>
      </c>
      <c r="P8" s="4" t="n">
        <f aca="false">CalcInputs!AA8</f>
        <v>3405547730.50628</v>
      </c>
      <c r="Q8" s="4" t="n">
        <f aca="false">CalcInputs!AB8</f>
        <v>3412136649.21924</v>
      </c>
      <c r="R8" s="4" t="n">
        <f aca="false">CalcInputs!AC8</f>
        <v>3788175546.29992</v>
      </c>
      <c r="S8" s="4" t="n">
        <f aca="false">-(CalcInputs!C8-CalcInputs!D8)</f>
        <v>-16255717026.6065</v>
      </c>
      <c r="T8" s="4" t="n">
        <f aca="false">D8-CalcInputs!AD8</f>
        <v>686356733.681914</v>
      </c>
      <c r="U8" s="4" t="n">
        <f aca="false">D8-CalcInputs!AE8</f>
        <v>767381536.185922</v>
      </c>
      <c r="V8" s="4" t="n">
        <f aca="false">D8-CalcInputs!AF8</f>
        <v>769185451.962853</v>
      </c>
      <c r="W8" s="4" t="n">
        <f aca="false">D8-CalcInputs!AG8</f>
        <v>770967477.038263</v>
      </c>
      <c r="X8" s="4" t="n">
        <f aca="false">D8-CalcInputs!AH8</f>
        <v>738361841.468084</v>
      </c>
      <c r="Y8" s="4" t="n">
        <f aca="false">D8-CalcInputs!AI8</f>
        <v>774462940.126267</v>
      </c>
      <c r="Z8" s="4" t="n">
        <f aca="false">D8-CalcInputs!AJ8</f>
        <v>776174880.54539</v>
      </c>
      <c r="AA8" s="4" t="n">
        <f aca="false">D8-CalcInputs!AK8</f>
        <v>777861934.418827</v>
      </c>
      <c r="AB8" s="4" t="n">
        <f aca="false">D8-CalcInputs!AL8</f>
        <v>779523311.34516</v>
      </c>
      <c r="AC8" s="4" t="n">
        <f aca="false">D8-CalcInputs!AM8</f>
        <v>2130338082.55137</v>
      </c>
      <c r="AD8" s="4" t="n">
        <f aca="false">D8</f>
        <v>3391985073.16417</v>
      </c>
      <c r="AE8" s="4" t="n">
        <f aca="false">D8</f>
        <v>3398829266.97274</v>
      </c>
      <c r="AF8" s="4" t="n">
        <f aca="false">D8</f>
        <v>3405547730.50628</v>
      </c>
      <c r="AG8" s="4" t="n">
        <f aca="false">D8</f>
        <v>3412136649.21924</v>
      </c>
      <c r="AH8" s="4" t="n">
        <f aca="false">D8</f>
        <v>3788175546.29992</v>
      </c>
    </row>
    <row r="9" customFormat="false" ht="13.8" hidden="false" customHeight="false" outlineLevel="0" collapsed="false">
      <c r="A9" s="0" t="str">
        <f aca="false">CalcInputs!A9</f>
        <v>NEGOTIATED_TERMS</v>
      </c>
      <c r="B9" s="0" t="str">
        <f aca="false">CalcInputs!B9</f>
        <v>VG-004</v>
      </c>
      <c r="C9" s="4" t="n">
        <f aca="false">-CalcInputs!C9</f>
        <v>-25732545833.3333</v>
      </c>
      <c r="D9" s="4" t="n">
        <f aca="false">CalcInputs!O9</f>
        <v>3229469444.17949</v>
      </c>
      <c r="E9" s="4" t="n">
        <f aca="false">CalcInputs!P9</f>
        <v>3620555530.3099</v>
      </c>
      <c r="F9" s="4" t="n">
        <f aca="false">CalcInputs!Q9</f>
        <v>3630227050.71734</v>
      </c>
      <c r="G9" s="4" t="n">
        <f aca="false">CalcInputs!R9</f>
        <v>3639812891.4508</v>
      </c>
      <c r="H9" s="4" t="n">
        <f aca="false">CalcInputs!S9</f>
        <v>3530177800.68608</v>
      </c>
      <c r="I9" s="4" t="n">
        <f aca="false">CalcInputs!T9</f>
        <v>3658715084.39956</v>
      </c>
      <c r="J9" s="4" t="n">
        <f aca="false">CalcInputs!U9</f>
        <v>3668025038.60139</v>
      </c>
      <c r="K9" s="4" t="n">
        <f aca="false">CalcInputs!V9</f>
        <v>3677236514.25656</v>
      </c>
      <c r="L9" s="4" t="n">
        <f aca="false">CalcInputs!W9</f>
        <v>3686346132.63985</v>
      </c>
      <c r="M9" s="4" t="n">
        <f aca="false">CalcInputs!X9</f>
        <v>3576218283.84045</v>
      </c>
      <c r="N9" s="4" t="n">
        <f aca="false">CalcInputs!Y9</f>
        <v>3704245908.41539</v>
      </c>
      <c r="O9" s="4" t="n">
        <f aca="false">CalcInputs!Z9</f>
        <v>3713028929.47535</v>
      </c>
      <c r="P9" s="4" t="n">
        <f aca="false">CalcInputs!AA9</f>
        <v>3721695817.45518</v>
      </c>
      <c r="Q9" s="4" t="n">
        <f aca="false">CalcInputs!AB9</f>
        <v>3730242805.31544</v>
      </c>
      <c r="R9" s="4" t="n">
        <f aca="false">CalcInputs!AC9</f>
        <v>4149314288.48118</v>
      </c>
      <c r="S9" s="4" t="n">
        <f aca="false">-(CalcInputs!C9-CalcInputs!D9)</f>
        <v>-9006391041.66667</v>
      </c>
      <c r="T9" s="4" t="n">
        <f aca="false">D9-CalcInputs!AD9</f>
        <v>745262179.426035</v>
      </c>
      <c r="U9" s="4" t="n">
        <f aca="false">D9-CalcInputs!AE9</f>
        <v>835512814.686899</v>
      </c>
      <c r="V9" s="4" t="n">
        <f aca="false">D9-CalcInputs!AF9</f>
        <v>837744704.011694</v>
      </c>
      <c r="W9" s="4" t="n">
        <f aca="false">D9-CalcInputs!AG9</f>
        <v>839956821.10403</v>
      </c>
      <c r="X9" s="4" t="n">
        <f aca="false">D9-CalcInputs!AH9</f>
        <v>814656415.542943</v>
      </c>
      <c r="Y9" s="4" t="n">
        <f aca="false">D9-CalcInputs!AI9</f>
        <v>844318865.630667</v>
      </c>
      <c r="Z9" s="4" t="n">
        <f aca="false">D9-CalcInputs!AJ9</f>
        <v>846467316.600321</v>
      </c>
      <c r="AA9" s="4" t="n">
        <f aca="false">D9-CalcInputs!AK9</f>
        <v>848593041.751514</v>
      </c>
      <c r="AB9" s="4" t="n">
        <f aca="false">D9-CalcInputs!AL9</f>
        <v>1047233645.24616</v>
      </c>
      <c r="AC9" s="4" t="n">
        <f aca="false">D9-CalcInputs!AM9</f>
        <v>3576218283.84045</v>
      </c>
      <c r="AD9" s="4" t="n">
        <f aca="false">D9</f>
        <v>3704245908.41539</v>
      </c>
      <c r="AE9" s="4" t="n">
        <f aca="false">D9</f>
        <v>3713028929.47535</v>
      </c>
      <c r="AF9" s="4" t="n">
        <f aca="false">D9</f>
        <v>3721695817.45518</v>
      </c>
      <c r="AG9" s="4" t="n">
        <f aca="false">D9</f>
        <v>3730242805.31544</v>
      </c>
      <c r="AH9" s="4" t="n">
        <f aca="false">D9</f>
        <v>4149314288.48118</v>
      </c>
    </row>
    <row r="10" customFormat="false" ht="13.8" hidden="false" customHeight="false" outlineLevel="0" collapsed="false">
      <c r="A10" s="0" t="str">
        <f aca="false">CalcInputs!A10</f>
        <v>CURRENT_TERMS</v>
      </c>
      <c r="B10" s="0" t="str">
        <f aca="false">CalcInputs!B10</f>
        <v>VG-005</v>
      </c>
      <c r="C10" s="4" t="n">
        <f aca="false">-CalcInputs!C10</f>
        <v>-26619875000</v>
      </c>
      <c r="D10" s="4" t="n">
        <f aca="false">CalcInputs!O10</f>
        <v>2817803225.178</v>
      </c>
      <c r="E10" s="4" t="n">
        <f aca="false">CalcInputs!P10</f>
        <v>3150946595.47847</v>
      </c>
      <c r="F10" s="4" t="n">
        <f aca="false">CalcInputs!Q10</f>
        <v>3159390650.9872</v>
      </c>
      <c r="G10" s="4" t="n">
        <f aca="false">CalcInputs!R10</f>
        <v>3167765977.3707</v>
      </c>
      <c r="H10" s="4" t="n">
        <f aca="false">CalcInputs!S10</f>
        <v>3052829861.83875</v>
      </c>
      <c r="I10" s="4" t="n">
        <f aca="false">CalcInputs!T10</f>
        <v>3184300182.91221</v>
      </c>
      <c r="J10" s="4" t="n">
        <f aca="false">CalcInputs!U10</f>
        <v>3192453788.887</v>
      </c>
      <c r="K10" s="4" t="n">
        <f aca="false">CalcInputs!V10</f>
        <v>3200528117.01553</v>
      </c>
      <c r="L10" s="4" t="n">
        <f aca="false">CalcInputs!W10</f>
        <v>3208520382.10854</v>
      </c>
      <c r="M10" s="4" t="n">
        <f aca="false">CalcInputs!X10</f>
        <v>3093187575.29778</v>
      </c>
      <c r="N10" s="4" t="n">
        <f aca="false">CalcInputs!Y10</f>
        <v>3224247272.95894</v>
      </c>
      <c r="O10" s="4" t="n">
        <f aca="false">CalcInputs!Z10</f>
        <v>3231976015.05367</v>
      </c>
      <c r="P10" s="4" t="n">
        <f aca="false">CalcInputs!AA10</f>
        <v>3239610924.18641</v>
      </c>
      <c r="Q10" s="4" t="n">
        <f aca="false">CalcInputs!AB10</f>
        <v>3247148894.07931</v>
      </c>
      <c r="R10" s="4" t="n">
        <f aca="false">CalcInputs!AC10</f>
        <v>3604177225.11028</v>
      </c>
      <c r="S10" s="4" t="n">
        <f aca="false">-(CalcInputs!C10-CalcInputs!D10)</f>
        <v>-11514172377.868</v>
      </c>
      <c r="T10" s="4" t="n">
        <f aca="false">D10-CalcInputs!AD10</f>
        <v>650262282.733386</v>
      </c>
      <c r="U10" s="4" t="n">
        <f aca="false">D10-CalcInputs!AE10</f>
        <v>727141522.033493</v>
      </c>
      <c r="V10" s="4" t="n">
        <f aca="false">D10-CalcInputs!AF10</f>
        <v>729090150.227815</v>
      </c>
      <c r="W10" s="4" t="n">
        <f aca="false">D10-CalcInputs!AG10</f>
        <v>731022917.854776</v>
      </c>
      <c r="X10" s="4" t="n">
        <f aca="false">D10-CalcInputs!AH10</f>
        <v>704499198.885867</v>
      </c>
      <c r="Y10" s="4" t="n">
        <f aca="false">D10-CalcInputs!AI10</f>
        <v>734838503.748971</v>
      </c>
      <c r="Z10" s="4" t="n">
        <f aca="false">D10-CalcInputs!AJ10</f>
        <v>736720105.127769</v>
      </c>
      <c r="AA10" s="4" t="n">
        <f aca="false">D10-CalcInputs!AK10</f>
        <v>738583411.618968</v>
      </c>
      <c r="AB10" s="4" t="n">
        <f aca="false">D10-CalcInputs!AL10</f>
        <v>740427780.486586</v>
      </c>
      <c r="AC10" s="4" t="n">
        <f aca="false">D10-CalcInputs!AM10</f>
        <v>2027418036.88292</v>
      </c>
      <c r="AD10" s="4" t="n">
        <f aca="false">D10</f>
        <v>3224247272.95894</v>
      </c>
      <c r="AE10" s="4" t="n">
        <f aca="false">D10</f>
        <v>3231976015.05367</v>
      </c>
      <c r="AF10" s="4" t="n">
        <f aca="false">D10</f>
        <v>3239610924.18641</v>
      </c>
      <c r="AG10" s="4" t="n">
        <f aca="false">D10</f>
        <v>3247148894.07931</v>
      </c>
      <c r="AH10" s="4" t="n">
        <f aca="false">D10</f>
        <v>3604177225.11028</v>
      </c>
    </row>
    <row r="11" customFormat="false" ht="13.8" hidden="false" customHeight="false" outlineLevel="0" collapsed="false">
      <c r="A11" s="0" t="str">
        <f aca="false">CalcInputs!A11</f>
        <v>NEGOTIATED_TERMS</v>
      </c>
      <c r="B11" s="0" t="str">
        <f aca="false">CalcInputs!B11</f>
        <v>VG-005</v>
      </c>
      <c r="C11" s="4" t="n">
        <f aca="false">-CalcInputs!C11</f>
        <v>-21295900000</v>
      </c>
      <c r="D11" s="4" t="n">
        <f aca="false">CalcInputs!O11</f>
        <v>3053418087.94076</v>
      </c>
      <c r="E11" s="4" t="n">
        <f aca="false">CalcInputs!P11</f>
        <v>3422558023.68501</v>
      </c>
      <c r="F11" s="4" t="n">
        <f aca="false">CalcInputs!Q11</f>
        <v>3432671909.79114</v>
      </c>
      <c r="G11" s="4" t="n">
        <f aca="false">CalcInputs!R11</f>
        <v>3442725332.43349</v>
      </c>
      <c r="H11" s="4" t="n">
        <f aca="false">CalcInputs!S11</f>
        <v>3354123652.1443</v>
      </c>
      <c r="I11" s="4" t="n">
        <f aca="false">CalcInputs!T11</f>
        <v>3462640691.33972</v>
      </c>
      <c r="J11" s="4" t="n">
        <f aca="false">CalcInputs!U11</f>
        <v>3472497436.859</v>
      </c>
      <c r="K11" s="4" t="n">
        <f aca="false">CalcInputs!V11</f>
        <v>3482283335.07277</v>
      </c>
      <c r="L11" s="4" t="n">
        <f aca="false">CalcInputs!W11</f>
        <v>3491995642.52294</v>
      </c>
      <c r="M11" s="4" t="n">
        <f aca="false">CalcInputs!X11</f>
        <v>3403039424.68642</v>
      </c>
      <c r="N11" s="4" t="n">
        <f aca="false">CalcInputs!Y11</f>
        <v>3511188202.86201</v>
      </c>
      <c r="O11" s="4" t="n">
        <f aca="false">CalcInputs!Z11</f>
        <v>3520662656.58753</v>
      </c>
      <c r="P11" s="4" t="n">
        <f aca="false">CalcInputs!AA11</f>
        <v>3530051918.62365</v>
      </c>
      <c r="Q11" s="4" t="n">
        <f aca="false">CalcInputs!AB11</f>
        <v>3539352925.46678</v>
      </c>
      <c r="R11" s="4" t="n">
        <f aca="false">CalcInputs!AC11</f>
        <v>3935127609.98443</v>
      </c>
      <c r="S11" s="4" t="n">
        <f aca="false">-(CalcInputs!C11-CalcInputs!D11)</f>
        <v>-7453565000</v>
      </c>
      <c r="T11" s="4" t="n">
        <f aca="false">D11-CalcInputs!AD11</f>
        <v>704634943.370946</v>
      </c>
      <c r="U11" s="4" t="n">
        <f aca="false">D11-CalcInputs!AE11</f>
        <v>789821082.388847</v>
      </c>
      <c r="V11" s="4" t="n">
        <f aca="false">D11-CalcInputs!AF11</f>
        <v>792155056.105647</v>
      </c>
      <c r="W11" s="4" t="n">
        <f aca="false">D11-CalcInputs!AG11</f>
        <v>794475076.715421</v>
      </c>
      <c r="X11" s="4" t="n">
        <f aca="false">D11-CalcInputs!AH11</f>
        <v>774028535.110222</v>
      </c>
      <c r="Y11" s="4" t="n">
        <f aca="false">D11-CalcInputs!AI11</f>
        <v>799070928.770704</v>
      </c>
      <c r="Z11" s="4" t="n">
        <f aca="false">D11-CalcInputs!AJ11</f>
        <v>801345562.352077</v>
      </c>
      <c r="AA11" s="4" t="n">
        <f aca="false">D11-CalcInputs!AK11</f>
        <v>2319419360.11552</v>
      </c>
      <c r="AB11" s="4" t="n">
        <f aca="false">D11-CalcInputs!AL11</f>
        <v>3491995642.52294</v>
      </c>
      <c r="AC11" s="4" t="n">
        <f aca="false">D11-CalcInputs!AM11</f>
        <v>3403039424.68642</v>
      </c>
      <c r="AD11" s="4" t="n">
        <f aca="false">D11</f>
        <v>3511188202.86201</v>
      </c>
      <c r="AE11" s="4" t="n">
        <f aca="false">D11</f>
        <v>3520662656.58753</v>
      </c>
      <c r="AF11" s="4" t="n">
        <f aca="false">D11</f>
        <v>3530051918.62365</v>
      </c>
      <c r="AG11" s="4" t="n">
        <f aca="false">D11</f>
        <v>3539352925.46678</v>
      </c>
      <c r="AH11" s="4" t="n">
        <f aca="false">D11</f>
        <v>3935127609.98443</v>
      </c>
    </row>
    <row r="12" customFormat="false" ht="13.8" hidden="false" customHeight="false" outlineLevel="0" collapsed="false">
      <c r="A12" s="0" t="str">
        <f aca="false">CalcInputs!A12</f>
        <v>CURRENT_TERMS</v>
      </c>
      <c r="B12" s="0" t="str">
        <f aca="false">CalcInputs!B12</f>
        <v>VG-006</v>
      </c>
      <c r="C12" s="4" t="n">
        <f aca="false">-CalcInputs!C12</f>
        <v>-26619875000</v>
      </c>
      <c r="D12" s="4" t="n">
        <f aca="false">CalcInputs!O12</f>
        <v>2636395236.70151</v>
      </c>
      <c r="E12" s="4" t="n">
        <f aca="false">CalcInputs!P12</f>
        <v>2947868730.38155</v>
      </c>
      <c r="F12" s="4" t="n">
        <f aca="false">CalcInputs!Q12</f>
        <v>2955307550.45805</v>
      </c>
      <c r="G12" s="4" t="n">
        <f aca="false">CalcInputs!R12</f>
        <v>2962672665.49393</v>
      </c>
      <c r="H12" s="4" t="n">
        <f aca="false">CalcInputs!S12</f>
        <v>2846721338.0682</v>
      </c>
      <c r="I12" s="4" t="n">
        <f aca="false">CalcInputs!T12</f>
        <v>2977171421.94899</v>
      </c>
      <c r="J12" s="4" t="n">
        <f aca="false">CalcInputs!U12</f>
        <v>2984299740.55701</v>
      </c>
      <c r="K12" s="4" t="n">
        <f aca="false">CalcInputs!V12</f>
        <v>2991343706.1463</v>
      </c>
      <c r="L12" s="4" t="n">
        <f aca="false">CalcInputs!W12</f>
        <v>2998300508.40551</v>
      </c>
      <c r="M12" s="4" t="n">
        <f aca="false">CalcInputs!X12</f>
        <v>2881927113.21993</v>
      </c>
      <c r="N12" s="4" t="n">
        <f aca="false">CalcInputs!Y12</f>
        <v>3011941071.5938</v>
      </c>
      <c r="O12" s="4" t="n">
        <f aca="false">CalcInputs!Z12</f>
        <v>3018618897.99177</v>
      </c>
      <c r="P12" s="4" t="n">
        <f aca="false">CalcInputs!AA12</f>
        <v>3025197689.39506</v>
      </c>
      <c r="Q12" s="4" t="n">
        <f aca="false">CalcInputs!AB12</f>
        <v>3031674313.77573</v>
      </c>
      <c r="R12" s="4" t="n">
        <f aca="false">CalcInputs!AC12</f>
        <v>3365377400.04527</v>
      </c>
      <c r="S12" s="4" t="n">
        <f aca="false">-(CalcInputs!C12-CalcInputs!D12)</f>
        <v>-12501080254.0449</v>
      </c>
      <c r="T12" s="4" t="n">
        <f aca="false">D12-CalcInputs!AD12</f>
        <v>608398900.777271</v>
      </c>
      <c r="U12" s="4" t="n">
        <f aca="false">D12-CalcInputs!AE12</f>
        <v>680277399.318819</v>
      </c>
      <c r="V12" s="4" t="n">
        <f aca="false">D12-CalcInputs!AF12</f>
        <v>681994050.105704</v>
      </c>
      <c r="W12" s="4" t="n">
        <f aca="false">D12-CalcInputs!AG12</f>
        <v>683693692.03706</v>
      </c>
      <c r="X12" s="4" t="n">
        <f aca="false">D12-CalcInputs!AH12</f>
        <v>656935693.400353</v>
      </c>
      <c r="Y12" s="4" t="n">
        <f aca="false">D12-CalcInputs!AI12</f>
        <v>687039558.911305</v>
      </c>
      <c r="Z12" s="4" t="n">
        <f aca="false">D12-CalcInputs!AJ12</f>
        <v>688684555.513156</v>
      </c>
      <c r="AA12" s="4" t="n">
        <f aca="false">D12-CalcInputs!AK12</f>
        <v>690310086.033763</v>
      </c>
      <c r="AB12" s="4" t="n">
        <f aca="false">D12-CalcInputs!AL12</f>
        <v>691915501.939734</v>
      </c>
      <c r="AC12" s="4" t="n">
        <f aca="false">D12-CalcInputs!AM12</f>
        <v>1892843223.83673</v>
      </c>
      <c r="AD12" s="4" t="n">
        <f aca="false">D12</f>
        <v>3011941071.5938</v>
      </c>
      <c r="AE12" s="4" t="n">
        <f aca="false">D12</f>
        <v>3018618897.99177</v>
      </c>
      <c r="AF12" s="4" t="n">
        <f aca="false">D12</f>
        <v>3025197689.39506</v>
      </c>
      <c r="AG12" s="4" t="n">
        <f aca="false">D12</f>
        <v>3031674313.77573</v>
      </c>
      <c r="AH12" s="4" t="n">
        <f aca="false">D12</f>
        <v>3365377400.04527</v>
      </c>
    </row>
    <row r="13" customFormat="false" ht="13.8" hidden="false" customHeight="false" outlineLevel="0" collapsed="false">
      <c r="A13" s="0" t="str">
        <f aca="false">CalcInputs!A13</f>
        <v>NEGOTIATED_TERMS</v>
      </c>
      <c r="B13" s="0" t="str">
        <f aca="false">CalcInputs!B13</f>
        <v>VG-006</v>
      </c>
      <c r="C13" s="4" t="n">
        <f aca="false">-CalcInputs!C13</f>
        <v>-21295900000</v>
      </c>
      <c r="D13" s="4" t="n">
        <f aca="false">CalcInputs!O13</f>
        <v>2942803460.82095</v>
      </c>
      <c r="E13" s="4" t="n">
        <f aca="false">CalcInputs!P13</f>
        <v>3298730057.1625</v>
      </c>
      <c r="F13" s="4" t="n">
        <f aca="false">CalcInputs!Q13</f>
        <v>3308230994.83434</v>
      </c>
      <c r="G13" s="4" t="n">
        <f aca="false">CalcInputs!R13</f>
        <v>3317668434.94766</v>
      </c>
      <c r="H13" s="4" t="n">
        <f aca="false">CalcInputs!S13</f>
        <v>3228447723.01591</v>
      </c>
      <c r="I13" s="4" t="n">
        <f aca="false">CalcInputs!T13</f>
        <v>3336342666.36214</v>
      </c>
      <c r="J13" s="4" t="n">
        <f aca="false">CalcInputs!U13</f>
        <v>3345574236.65779</v>
      </c>
      <c r="K13" s="4" t="n">
        <f aca="false">CalcInputs!V13</f>
        <v>3354731865.03056</v>
      </c>
      <c r="L13" s="4" t="n">
        <f aca="false">CalcInputs!W13</f>
        <v>3363812792.70403</v>
      </c>
      <c r="M13" s="4" t="n">
        <f aca="false">CalcInputs!X13</f>
        <v>3274222069.7609</v>
      </c>
      <c r="N13" s="4" t="n">
        <f aca="false">CalcInputs!Y13</f>
        <v>3381733202.02961</v>
      </c>
      <c r="O13" s="4" t="n">
        <f aca="false">CalcInputs!Z13</f>
        <v>3390566853.50101</v>
      </c>
      <c r="P13" s="4" t="n">
        <f aca="false">CalcInputs!AA13</f>
        <v>3399312141.31185</v>
      </c>
      <c r="Q13" s="4" t="n">
        <f aca="false">CalcInputs!AB13</f>
        <v>3407965986.25729</v>
      </c>
      <c r="R13" s="4" t="n">
        <f aca="false">CalcInputs!AC13</f>
        <v>3789517960.55455</v>
      </c>
      <c r="S13" s="4" t="n">
        <f aca="false">-(CalcInputs!C13-CalcInputs!D13)</f>
        <v>-7453565000</v>
      </c>
      <c r="T13" s="4" t="n">
        <f aca="false">D13-CalcInputs!AD13</f>
        <v>679108490.958681</v>
      </c>
      <c r="U13" s="4" t="n">
        <f aca="false">D13-CalcInputs!AE13</f>
        <v>761245397.80673</v>
      </c>
      <c r="V13" s="4" t="n">
        <f aca="false">D13-CalcInputs!AF13</f>
        <v>763437921.884848</v>
      </c>
      <c r="W13" s="4" t="n">
        <f aca="false">D13-CalcInputs!AG13</f>
        <v>765615792.680229</v>
      </c>
      <c r="X13" s="4" t="n">
        <f aca="false">D13-CalcInputs!AH13</f>
        <v>745026397.619056</v>
      </c>
      <c r="Y13" s="4" t="n">
        <f aca="false">D13-CalcInputs!AI13</f>
        <v>769925230.698957</v>
      </c>
      <c r="Z13" s="4" t="n">
        <f aca="false">D13-CalcInputs!AJ13</f>
        <v>772055593.074874</v>
      </c>
      <c r="AA13" s="4" t="n">
        <f aca="false">D13-CalcInputs!AK13</f>
        <v>1264814124.94861</v>
      </c>
      <c r="AB13" s="4" t="n">
        <f aca="false">D13-CalcInputs!AL13</f>
        <v>3363812792.70403</v>
      </c>
      <c r="AC13" s="4" t="n">
        <f aca="false">D13-CalcInputs!AM13</f>
        <v>3274222069.7609</v>
      </c>
      <c r="AD13" s="4" t="n">
        <f aca="false">D13</f>
        <v>3381733202.02961</v>
      </c>
      <c r="AE13" s="4" t="n">
        <f aca="false">D13</f>
        <v>3390566853.50101</v>
      </c>
      <c r="AF13" s="4" t="n">
        <f aca="false">D13</f>
        <v>3399312141.31185</v>
      </c>
      <c r="AG13" s="4" t="n">
        <f aca="false">D13</f>
        <v>3407965986.25729</v>
      </c>
      <c r="AH13" s="4" t="n">
        <f aca="false">D13</f>
        <v>3789517960.55455</v>
      </c>
    </row>
    <row r="14" customFormat="false" ht="13.8" hidden="false" customHeight="false" outlineLevel="0" collapsed="false">
      <c r="A14" s="0" t="str">
        <f aca="false">CalcInputs!A14</f>
        <v>CURRENT_TERMS</v>
      </c>
      <c r="B14" s="0" t="str">
        <f aca="false">CalcInputs!B14</f>
        <v>VG-007</v>
      </c>
      <c r="C14" s="4" t="n">
        <f aca="false">-CalcInputs!C14</f>
        <v>-28838197916.6667</v>
      </c>
      <c r="D14" s="4" t="n">
        <f aca="false">CalcInputs!O14</f>
        <v>2921778196.69147</v>
      </c>
      <c r="E14" s="4" t="n">
        <f aca="false">CalcInputs!P14</f>
        <v>3267053942.53016</v>
      </c>
      <c r="F14" s="4" t="n">
        <f aca="false">CalcInputs!Q14</f>
        <v>3275476635.22855</v>
      </c>
      <c r="G14" s="4" t="n">
        <f aca="false">CalcInputs!R14</f>
        <v>3283821282.4558</v>
      </c>
      <c r="H14" s="4" t="n">
        <f aca="false">CalcInputs!S14</f>
        <v>3158574927.59071</v>
      </c>
      <c r="I14" s="4" t="n">
        <f aca="false">CalcInputs!T14</f>
        <v>3300265254.51108</v>
      </c>
      <c r="J14" s="4" t="n">
        <f aca="false">CalcInputs!U14</f>
        <v>3308358830.92939</v>
      </c>
      <c r="K14" s="4" t="n">
        <f aca="false">CalcInputs!V14</f>
        <v>3316362862.5055</v>
      </c>
      <c r="L14" s="4" t="n">
        <f aca="false">CalcInputs!W14</f>
        <v>3324274313.8315</v>
      </c>
      <c r="M14" s="4" t="n">
        <f aca="false">CalcInputs!X14</f>
        <v>3198579907.09092</v>
      </c>
      <c r="N14" s="4" t="n">
        <f aca="false">CalcInputs!Y14</f>
        <v>3339806998.39141</v>
      </c>
      <c r="O14" s="4" t="n">
        <f aca="false">CalcInputs!Z14</f>
        <v>3347421820.96816</v>
      </c>
      <c r="P14" s="4" t="n">
        <f aca="false">CalcInputs!AA14</f>
        <v>3354931239.1617</v>
      </c>
      <c r="Q14" s="4" t="n">
        <f aca="false">CalcInputs!AB14</f>
        <v>3362331869.26523</v>
      </c>
      <c r="R14" s="4" t="n">
        <f aca="false">CalcInputs!AC14</f>
        <v>3732289041.70517</v>
      </c>
      <c r="S14" s="4" t="n">
        <f aca="false">-(CalcInputs!C14-CalcInputs!D14)</f>
        <v>-13185501948.8982</v>
      </c>
      <c r="T14" s="4" t="n">
        <f aca="false">D14-CalcInputs!AD14</f>
        <v>674256506.928801</v>
      </c>
      <c r="U14" s="4" t="n">
        <f aca="false">D14-CalcInputs!AE14</f>
        <v>753935525.199267</v>
      </c>
      <c r="V14" s="4" t="n">
        <f aca="false">D14-CalcInputs!AF14</f>
        <v>755879223.514281</v>
      </c>
      <c r="W14" s="4" t="n">
        <f aca="false">D14-CalcInputs!AG14</f>
        <v>757804911.335954</v>
      </c>
      <c r="X14" s="4" t="n">
        <f aca="false">D14-CalcInputs!AH14</f>
        <v>728901906.367086</v>
      </c>
      <c r="Y14" s="4" t="n">
        <f aca="false">D14-CalcInputs!AI14</f>
        <v>761599674.117941</v>
      </c>
      <c r="Z14" s="4" t="n">
        <f aca="false">D14-CalcInputs!AJ14</f>
        <v>763467422.522168</v>
      </c>
      <c r="AA14" s="4" t="n">
        <f aca="false">D14-CalcInputs!AK14</f>
        <v>765314506.732038</v>
      </c>
      <c r="AB14" s="4" t="n">
        <f aca="false">D14-CalcInputs!AL14</f>
        <v>767140226.268808</v>
      </c>
      <c r="AC14" s="4" t="n">
        <f aca="false">D14-CalcInputs!AM14</f>
        <v>2099306378.73221</v>
      </c>
      <c r="AD14" s="4" t="n">
        <f aca="false">D14</f>
        <v>3339806998.39141</v>
      </c>
      <c r="AE14" s="4" t="n">
        <f aca="false">D14</f>
        <v>3347421820.96816</v>
      </c>
      <c r="AF14" s="4" t="n">
        <f aca="false">D14</f>
        <v>3354931239.1617</v>
      </c>
      <c r="AG14" s="4" t="n">
        <f aca="false">D14</f>
        <v>3362331869.26523</v>
      </c>
      <c r="AH14" s="4" t="n">
        <f aca="false">D14</f>
        <v>3732289041.70517</v>
      </c>
    </row>
    <row r="15" customFormat="false" ht="13.8" hidden="false" customHeight="false" outlineLevel="0" collapsed="false">
      <c r="A15" s="0" t="str">
        <f aca="false">CalcInputs!A15</f>
        <v>NEGOTIATED_TERMS</v>
      </c>
      <c r="B15" s="0" t="str">
        <f aca="false">CalcInputs!B15</f>
        <v>VG-007</v>
      </c>
      <c r="C15" s="4" t="n">
        <f aca="false">-CalcInputs!C15</f>
        <v>-23070558333.3333</v>
      </c>
      <c r="D15" s="4" t="n">
        <f aca="false">CalcInputs!O15</f>
        <v>3228087909.95329</v>
      </c>
      <c r="E15" s="4" t="n">
        <f aca="false">CalcInputs!P15</f>
        <v>3618459280.18832</v>
      </c>
      <c r="F15" s="4" t="n">
        <f aca="false">CalcInputs!Q15</f>
        <v>3628973896.17155</v>
      </c>
      <c r="G15" s="4" t="n">
        <f aca="false">CalcInputs!R15</f>
        <v>3639420821.7039</v>
      </c>
      <c r="H15" s="4" t="n">
        <f aca="false">CalcInputs!S15</f>
        <v>3542989186.52953</v>
      </c>
      <c r="I15" s="4" t="n">
        <f aca="false">CalcInputs!T15</f>
        <v>3660100620.71326</v>
      </c>
      <c r="J15" s="4" t="n">
        <f aca="false">CalcInputs!U15</f>
        <v>3670327849.05771</v>
      </c>
      <c r="K15" s="4" t="n">
        <f aca="false">CalcInputs!V15</f>
        <v>3680476094.13697</v>
      </c>
      <c r="L15" s="4" t="n">
        <f aca="false">CalcInputs!W15</f>
        <v>3690542372.82298</v>
      </c>
      <c r="M15" s="4" t="n">
        <f aca="false">CalcInputs!X15</f>
        <v>3593715494.94585</v>
      </c>
      <c r="N15" s="4" t="n">
        <f aca="false">CalcInputs!Y15</f>
        <v>3710416764.08784</v>
      </c>
      <c r="O15" s="4" t="n">
        <f aca="false">CalcInputs!Z15</f>
        <v>3720218571.86821</v>
      </c>
      <c r="P15" s="4" t="n">
        <f aca="false">CalcInputs!AA15</f>
        <v>3729925800.84214</v>
      </c>
      <c r="Q15" s="4" t="n">
        <f aca="false">CalcInputs!AB15</f>
        <v>3739535120.88942</v>
      </c>
      <c r="R15" s="4" t="n">
        <f aca="false">CalcInputs!AC15</f>
        <v>4158032785.51303</v>
      </c>
      <c r="S15" s="4" t="n">
        <f aca="false">-(CalcInputs!C15-CalcInputs!D15)</f>
        <v>-8074695416.66667</v>
      </c>
      <c r="T15" s="4" t="n">
        <f aca="false">D15-CalcInputs!AD15</f>
        <v>744943363.835374</v>
      </c>
      <c r="U15" s="4" t="n">
        <f aca="false">D15-CalcInputs!AE15</f>
        <v>835029064.658844</v>
      </c>
      <c r="V15" s="4" t="n">
        <f aca="false">D15-CalcInputs!AF15</f>
        <v>837455514.501127</v>
      </c>
      <c r="W15" s="4" t="n">
        <f aca="false">D15-CalcInputs!AG15</f>
        <v>839866343.47013</v>
      </c>
      <c r="X15" s="4" t="n">
        <f aca="false">D15-CalcInputs!AH15</f>
        <v>817612889.199122</v>
      </c>
      <c r="Y15" s="4" t="n">
        <f aca="false">D15-CalcInputs!AI15</f>
        <v>844638604.779984</v>
      </c>
      <c r="Z15" s="4" t="n">
        <f aca="false">D15-CalcInputs!AJ15</f>
        <v>846998734.397933</v>
      </c>
      <c r="AA15" s="4" t="n">
        <f aca="false">D15-CalcInputs!AK15</f>
        <v>1752061838.4732</v>
      </c>
      <c r="AB15" s="4" t="n">
        <f aca="false">D15-CalcInputs!AL15</f>
        <v>3690542372.82298</v>
      </c>
      <c r="AC15" s="4" t="n">
        <f aca="false">D15-CalcInputs!AM15</f>
        <v>3593715494.94585</v>
      </c>
      <c r="AD15" s="4" t="n">
        <f aca="false">D15</f>
        <v>3710416764.08784</v>
      </c>
      <c r="AE15" s="4" t="n">
        <f aca="false">D15</f>
        <v>3720218571.86821</v>
      </c>
      <c r="AF15" s="4" t="n">
        <f aca="false">D15</f>
        <v>3729925800.84214</v>
      </c>
      <c r="AG15" s="4" t="n">
        <f aca="false">D15</f>
        <v>3739535120.88942</v>
      </c>
      <c r="AH15" s="4" t="n">
        <f aca="false">D15</f>
        <v>4158032785.51303</v>
      </c>
    </row>
    <row r="16" customFormat="false" ht="13.8" hidden="false" customHeight="false" outlineLevel="0" collapsed="false">
      <c r="A16" s="0" t="str">
        <f aca="false">CalcInputs!A16</f>
        <v>CURRENT_TERMS</v>
      </c>
      <c r="B16" s="0" t="str">
        <f aca="false">CalcInputs!B16</f>
        <v>VG-008</v>
      </c>
      <c r="C16" s="4" t="n">
        <f aca="false">-CalcInputs!C16</f>
        <v>-28838197916.6667</v>
      </c>
      <c r="D16" s="4" t="n">
        <f aca="false">CalcInputs!O16</f>
        <v>2905703742.99284</v>
      </c>
      <c r="E16" s="4" t="n">
        <f aca="false">CalcInputs!P16</f>
        <v>3249059333.98435</v>
      </c>
      <c r="F16" s="4" t="n">
        <f aca="false">CalcInputs!Q16</f>
        <v>3257392953.37044</v>
      </c>
      <c r="G16" s="4" t="n">
        <f aca="false">CalcInputs!R16</f>
        <v>3265648086.37249</v>
      </c>
      <c r="H16" s="4" t="n">
        <f aca="false">CalcInputs!S16</f>
        <v>3140311774.18678</v>
      </c>
      <c r="I16" s="4" t="n">
        <f aca="false">CalcInputs!T16</f>
        <v>3281911698.49781</v>
      </c>
      <c r="J16" s="4" t="n">
        <f aca="false">CalcInputs!U16</f>
        <v>3289914424.81386</v>
      </c>
      <c r="K16" s="4" t="n">
        <f aca="false">CalcInputs!V16</f>
        <v>3297827156.57969</v>
      </c>
      <c r="L16" s="4" t="n">
        <f aca="false">CalcInputs!W16</f>
        <v>3305646856.16136</v>
      </c>
      <c r="M16" s="4" t="n">
        <f aca="false">CalcInputs!X16</f>
        <v>3179860243.50531</v>
      </c>
      <c r="N16" s="4" t="n">
        <f aca="false">CalcInputs!Y16</f>
        <v>3320994672.47105</v>
      </c>
      <c r="O16" s="4" t="n">
        <f aca="false">CalcInputs!Z16</f>
        <v>3328516374.0345</v>
      </c>
      <c r="P16" s="4" t="n">
        <f aca="false">CalcInputs!AA16</f>
        <v>3335932210.26571</v>
      </c>
      <c r="Q16" s="4" t="n">
        <f aca="false">CalcInputs!AB16</f>
        <v>3343238795.17622</v>
      </c>
      <c r="R16" s="4" t="n">
        <f aca="false">CalcInputs!AC16</f>
        <v>3711129131.58497</v>
      </c>
      <c r="S16" s="4" t="n">
        <f aca="false">-(CalcInputs!C16-CalcInputs!D16)</f>
        <v>-13272951267.3855</v>
      </c>
      <c r="T16" s="4" t="n">
        <f aca="false">D16-CalcInputs!AD16</f>
        <v>670547017.613732</v>
      </c>
      <c r="U16" s="4" t="n">
        <f aca="false">D16-CalcInputs!AE16</f>
        <v>749782923.227157</v>
      </c>
      <c r="V16" s="4" t="n">
        <f aca="false">D16-CalcInputs!AF16</f>
        <v>751706066.162409</v>
      </c>
      <c r="W16" s="4" t="n">
        <f aca="false">D16-CalcInputs!AG16</f>
        <v>753611096.855191</v>
      </c>
      <c r="X16" s="4" t="n">
        <f aca="false">D16-CalcInputs!AH16</f>
        <v>724687332.504643</v>
      </c>
      <c r="Y16" s="4" t="n">
        <f aca="false">D16-CalcInputs!AI16</f>
        <v>757364238.114879</v>
      </c>
      <c r="Z16" s="4" t="n">
        <f aca="false">D16-CalcInputs!AJ16</f>
        <v>759211021.11089</v>
      </c>
      <c r="AA16" s="4" t="n">
        <f aca="false">D16-CalcInputs!AK16</f>
        <v>761037036.133774</v>
      </c>
      <c r="AB16" s="4" t="n">
        <f aca="false">D16-CalcInputs!AL16</f>
        <v>762841582.191083</v>
      </c>
      <c r="AC16" s="4" t="n">
        <f aca="false">D16-CalcInputs!AM16</f>
        <v>2087381784.78528</v>
      </c>
      <c r="AD16" s="4" t="n">
        <f aca="false">D16</f>
        <v>3320994672.47105</v>
      </c>
      <c r="AE16" s="4" t="n">
        <f aca="false">D16</f>
        <v>3328516374.0345</v>
      </c>
      <c r="AF16" s="4" t="n">
        <f aca="false">D16</f>
        <v>3335932210.26571</v>
      </c>
      <c r="AG16" s="4" t="n">
        <f aca="false">D16</f>
        <v>3343238795.17622</v>
      </c>
      <c r="AH16" s="4" t="n">
        <f aca="false">D16</f>
        <v>3711129131.58497</v>
      </c>
    </row>
    <row r="17" customFormat="false" ht="13.8" hidden="false" customHeight="false" outlineLevel="0" collapsed="false">
      <c r="A17" s="0" t="str">
        <f aca="false">CalcInputs!A17</f>
        <v>NEGOTIATED_TERMS</v>
      </c>
      <c r="B17" s="0" t="str">
        <f aca="false">CalcInputs!B17</f>
        <v>VG-008</v>
      </c>
      <c r="C17" s="4" t="n">
        <f aca="false">-CalcInputs!C17</f>
        <v>-23070558333.3333</v>
      </c>
      <c r="D17" s="4" t="n">
        <f aca="false">CalcInputs!O17</f>
        <v>3058954348.30946</v>
      </c>
      <c r="E17" s="4" t="n">
        <f aca="false">CalcInputs!P17</f>
        <v>3429122069.05819</v>
      </c>
      <c r="F17" s="4" t="n">
        <f aca="false">CalcInputs!Q17</f>
        <v>3438699465.84632</v>
      </c>
      <c r="G17" s="4" t="n">
        <f aca="false">CalcInputs!R17</f>
        <v>3448204532.94856</v>
      </c>
      <c r="H17" s="4" t="n">
        <f aca="false">CalcInputs!S17</f>
        <v>3350826377.14485</v>
      </c>
      <c r="I17" s="4" t="n">
        <f aca="false">CalcInputs!T17</f>
        <v>3466986605.42213</v>
      </c>
      <c r="J17" s="4" t="n">
        <f aca="false">CalcInputs!U17</f>
        <v>3476257919.39089</v>
      </c>
      <c r="K17" s="4" t="n">
        <f aca="false">CalcInputs!V17</f>
        <v>3485445518.3183</v>
      </c>
      <c r="L17" s="4" t="n">
        <f aca="false">CalcInputs!W17</f>
        <v>3494546395.654</v>
      </c>
      <c r="M17" s="4" t="n">
        <f aca="false">CalcInputs!X17</f>
        <v>3396749337.68989</v>
      </c>
      <c r="N17" s="4" t="n">
        <f aca="false">CalcInputs!Y17</f>
        <v>3512475624.35346</v>
      </c>
      <c r="O17" s="4" t="n">
        <f aca="false">CalcInputs!Z17</f>
        <v>3521297623.49215</v>
      </c>
      <c r="P17" s="4" t="n">
        <f aca="false">CalcInputs!AA17</f>
        <v>3530020193.77161</v>
      </c>
      <c r="Q17" s="4" t="n">
        <f aca="false">CalcInputs!AB17</f>
        <v>3538639981.06389</v>
      </c>
      <c r="R17" s="4" t="n">
        <f aca="false">CalcInputs!AC17</f>
        <v>3935390633.57493</v>
      </c>
      <c r="S17" s="4" t="n">
        <f aca="false">-(CalcInputs!C17-CalcInputs!D17)</f>
        <v>-8074695416.66667</v>
      </c>
      <c r="T17" s="4" t="n">
        <f aca="false">D17-CalcInputs!AD17</f>
        <v>705912541.917567</v>
      </c>
      <c r="U17" s="4" t="n">
        <f aca="false">D17-CalcInputs!AE17</f>
        <v>791335862.090352</v>
      </c>
      <c r="V17" s="4" t="n">
        <f aca="false">D17-CalcInputs!AF17</f>
        <v>793546030.579921</v>
      </c>
      <c r="W17" s="4" t="n">
        <f aca="false">D17-CalcInputs!AG17</f>
        <v>795739507.603514</v>
      </c>
      <c r="X17" s="4" t="n">
        <f aca="false">D17-CalcInputs!AH17</f>
        <v>773267625.494966</v>
      </c>
      <c r="Y17" s="4" t="n">
        <f aca="false">D17-CalcInputs!AI17</f>
        <v>800073832.020493</v>
      </c>
      <c r="Z17" s="4" t="n">
        <f aca="false">D17-CalcInputs!AJ17</f>
        <v>802213366.013282</v>
      </c>
      <c r="AA17" s="4" t="n">
        <f aca="false">D17-CalcInputs!AK17</f>
        <v>804333581.150376</v>
      </c>
      <c r="AB17" s="4" t="n">
        <f aca="false">D17-CalcInputs!AL17</f>
        <v>2773239105.34161</v>
      </c>
      <c r="AC17" s="4" t="n">
        <f aca="false">D17-CalcInputs!AM17</f>
        <v>3396749337.68989</v>
      </c>
      <c r="AD17" s="4" t="n">
        <f aca="false">D17</f>
        <v>3512475624.35346</v>
      </c>
      <c r="AE17" s="4" t="n">
        <f aca="false">D17</f>
        <v>3521297623.49215</v>
      </c>
      <c r="AF17" s="4" t="n">
        <f aca="false">D17</f>
        <v>3530020193.77161</v>
      </c>
      <c r="AG17" s="4" t="n">
        <f aca="false">D17</f>
        <v>3538639981.06389</v>
      </c>
      <c r="AH17" s="4" t="n">
        <f aca="false">D17</f>
        <v>3935390633.57493</v>
      </c>
    </row>
    <row r="18" customFormat="false" ht="13.8" hidden="false" customHeight="false" outlineLevel="0" collapsed="false">
      <c r="A18" s="0" t="str">
        <f aca="false">CalcInputs!A18</f>
        <v>CURRENT_TERMS</v>
      </c>
      <c r="B18" s="0" t="str">
        <f aca="false">CalcInputs!B18</f>
        <v>VG-009</v>
      </c>
      <c r="C18" s="4" t="n">
        <f aca="false">-CalcInputs!C18</f>
        <v>-28838197916.6667</v>
      </c>
      <c r="D18" s="4" t="n">
        <f aca="false">CalcInputs!O18</f>
        <v>2974872604.3627</v>
      </c>
      <c r="E18" s="4" t="n">
        <f aca="false">CalcInputs!P18</f>
        <v>3326490679.84813</v>
      </c>
      <c r="F18" s="4" t="n">
        <f aca="false">CalcInputs!Q18</f>
        <v>3335207584.39625</v>
      </c>
      <c r="G18" s="4" t="n">
        <f aca="false">CalcInputs!R18</f>
        <v>3343847899.82188</v>
      </c>
      <c r="H18" s="4" t="n">
        <f aca="false">CalcInputs!S18</f>
        <v>3218898676.71274</v>
      </c>
      <c r="I18" s="4" t="n">
        <f aca="false">CalcInputs!T18</f>
        <v>3360887606.19127</v>
      </c>
      <c r="J18" s="4" t="n">
        <f aca="false">CalcInputs!U18</f>
        <v>3369281263.2504</v>
      </c>
      <c r="K18" s="4" t="n">
        <f aca="false">CalcInputs!V18</f>
        <v>3377586860.86649</v>
      </c>
      <c r="L18" s="4" t="n">
        <f aca="false">CalcInputs!W18</f>
        <v>3385801370.98439</v>
      </c>
      <c r="M18" s="4" t="n">
        <f aca="false">CalcInputs!X18</f>
        <v>3260411523.17671</v>
      </c>
      <c r="N18" s="4" t="n">
        <f aca="false">CalcInputs!Y18</f>
        <v>3401944680.97683</v>
      </c>
      <c r="O18" s="4" t="n">
        <f aca="false">CalcInputs!Z18</f>
        <v>3409867085.08237</v>
      </c>
      <c r="P18" s="4" t="n">
        <f aca="false">CalcInputs!AA18</f>
        <v>3417685607.33328</v>
      </c>
      <c r="Q18" s="4" t="n">
        <f aca="false">CalcInputs!AB18</f>
        <v>3425396871.55926</v>
      </c>
      <c r="R18" s="4" t="n">
        <f aca="false">CalcInputs!AC18</f>
        <v>3802180866.04158</v>
      </c>
      <c r="S18" s="4" t="n">
        <f aca="false">-(CalcInputs!C18-CalcInputs!D18)</f>
        <v>-12896654199.9554</v>
      </c>
      <c r="T18" s="4" t="n">
        <f aca="false">D18-CalcInputs!AD18</f>
        <v>686509062.545239</v>
      </c>
      <c r="U18" s="4" t="n">
        <f aca="false">D18-CalcInputs!AE18</f>
        <v>767651695.349568</v>
      </c>
      <c r="V18" s="4" t="n">
        <f aca="false">D18-CalcInputs!AF18</f>
        <v>769663288.706826</v>
      </c>
      <c r="W18" s="4" t="n">
        <f aca="false">D18-CalcInputs!AG18</f>
        <v>771657207.651203</v>
      </c>
      <c r="X18" s="4" t="n">
        <f aca="false">D18-CalcInputs!AH18</f>
        <v>742822771.549095</v>
      </c>
      <c r="Y18" s="4" t="n">
        <f aca="false">D18-CalcInputs!AI18</f>
        <v>775589447.582601</v>
      </c>
      <c r="Z18" s="4" t="n">
        <f aca="false">D18-CalcInputs!AJ18</f>
        <v>777526445.365478</v>
      </c>
      <c r="AA18" s="4" t="n">
        <f aca="false">D18-CalcInputs!AK18</f>
        <v>779443121.738422</v>
      </c>
      <c r="AB18" s="4" t="n">
        <f aca="false">D18-CalcInputs!AL18</f>
        <v>781338777.919474</v>
      </c>
      <c r="AC18" s="4" t="n">
        <f aca="false">D18-CalcInputs!AM18</f>
        <v>2138693673.89028</v>
      </c>
      <c r="AD18" s="4" t="n">
        <f aca="false">D18</f>
        <v>3401944680.97683</v>
      </c>
      <c r="AE18" s="4" t="n">
        <f aca="false">D18</f>
        <v>3409867085.08237</v>
      </c>
      <c r="AF18" s="4" t="n">
        <f aca="false">D18</f>
        <v>3417685607.33328</v>
      </c>
      <c r="AG18" s="4" t="n">
        <f aca="false">D18</f>
        <v>3425396871.55926</v>
      </c>
      <c r="AH18" s="4" t="n">
        <f aca="false">D18</f>
        <v>3802180866.04158</v>
      </c>
    </row>
    <row r="19" customFormat="false" ht="13.8" hidden="false" customHeight="false" outlineLevel="0" collapsed="false">
      <c r="A19" s="0" t="str">
        <f aca="false">CalcInputs!A19</f>
        <v>NEGOTIATED_TERMS</v>
      </c>
      <c r="B19" s="0" t="str">
        <f aca="false">CalcInputs!B19</f>
        <v>VG-009</v>
      </c>
      <c r="C19" s="4" t="n">
        <f aca="false">-CalcInputs!C19</f>
        <v>-23070558333.3333</v>
      </c>
      <c r="D19" s="4" t="n">
        <f aca="false">CalcInputs!O19</f>
        <v>3097381493.51493</v>
      </c>
      <c r="E19" s="4" t="n">
        <f aca="false">CalcInputs!P19</f>
        <v>3472139483.42695</v>
      </c>
      <c r="F19" s="4" t="n">
        <f aca="false">CalcInputs!Q19</f>
        <v>3481929816.41621</v>
      </c>
      <c r="G19" s="4" t="n">
        <f aca="false">CalcInputs!R19</f>
        <v>3491648873.75377</v>
      </c>
      <c r="H19" s="4" t="n">
        <f aca="false">CalcInputs!S19</f>
        <v>3394485767.43705</v>
      </c>
      <c r="I19" s="4" t="n">
        <f aca="false">CalcInputs!T19</f>
        <v>3510862109.69627</v>
      </c>
      <c r="J19" s="4" t="n">
        <f aca="false">CalcInputs!U19</f>
        <v>3520350607.41119</v>
      </c>
      <c r="K19" s="4" t="n">
        <f aca="false">CalcInputs!V19</f>
        <v>3529756465.1443</v>
      </c>
      <c r="L19" s="4" t="n">
        <f aca="false">CalcInputs!W19</f>
        <v>3539076681.66679</v>
      </c>
      <c r="M19" s="4" t="n">
        <f aca="false">CalcInputs!X19</f>
        <v>3441500048.61844</v>
      </c>
      <c r="N19" s="4" t="n">
        <f aca="false">CalcInputs!Y19</f>
        <v>3557447851.30111</v>
      </c>
      <c r="O19" s="4" t="n">
        <f aca="false">CalcInputs!Z19</f>
        <v>3566492462.96319</v>
      </c>
      <c r="P19" s="4" t="n">
        <f aca="false">CalcInputs!AA19</f>
        <v>3575438747.69803</v>
      </c>
      <c r="Q19" s="4" t="n">
        <f aca="false">CalcInputs!AB19</f>
        <v>3584283356.83225</v>
      </c>
      <c r="R19" s="4" t="n">
        <f aca="false">CalcInputs!AC19</f>
        <v>3985974930.49527</v>
      </c>
      <c r="S19" s="4" t="n">
        <f aca="false">-(CalcInputs!C19-CalcInputs!D19)</f>
        <v>-8074695416.66667</v>
      </c>
      <c r="T19" s="4" t="n">
        <f aca="false">D19-CalcInputs!AD19</f>
        <v>714780344.657292</v>
      </c>
      <c r="U19" s="4" t="n">
        <f aca="false">D19-CalcInputs!AE19</f>
        <v>801262957.713912</v>
      </c>
      <c r="V19" s="4" t="n">
        <f aca="false">D19-CalcInputs!AF19</f>
        <v>803522265.326818</v>
      </c>
      <c r="W19" s="4" t="n">
        <f aca="false">D19-CalcInputs!AG19</f>
        <v>805765124.712409</v>
      </c>
      <c r="X19" s="4" t="n">
        <f aca="false">D19-CalcInputs!AH19</f>
        <v>783342869.408549</v>
      </c>
      <c r="Y19" s="4" t="n">
        <f aca="false">D19-CalcInputs!AI19</f>
        <v>810198948.391448</v>
      </c>
      <c r="Z19" s="4" t="n">
        <f aca="false">D19-CalcInputs!AJ19</f>
        <v>812388601.710274</v>
      </c>
      <c r="AA19" s="4" t="n">
        <f aca="false">D19-CalcInputs!AK19</f>
        <v>814559184.264068</v>
      </c>
      <c r="AB19" s="4" t="n">
        <f aca="false">D19-CalcInputs!AL19</f>
        <v>3204182016.50415</v>
      </c>
      <c r="AC19" s="4" t="n">
        <f aca="false">D19-CalcInputs!AM19</f>
        <v>3441500048.61844</v>
      </c>
      <c r="AD19" s="4" t="n">
        <f aca="false">D19</f>
        <v>3557447851.30111</v>
      </c>
      <c r="AE19" s="4" t="n">
        <f aca="false">D19</f>
        <v>3566492462.96319</v>
      </c>
      <c r="AF19" s="4" t="n">
        <f aca="false">D19</f>
        <v>3575438747.69803</v>
      </c>
      <c r="AG19" s="4" t="n">
        <f aca="false">D19</f>
        <v>3584283356.83225</v>
      </c>
      <c r="AH19" s="4" t="n">
        <f aca="false">D19</f>
        <v>3985974930.49527</v>
      </c>
    </row>
    <row r="20" customFormat="false" ht="13.8" hidden="false" customHeight="false" outlineLevel="0" collapsed="false">
      <c r="A20" s="0" t="str">
        <f aca="false">CalcInputs!A20</f>
        <v>CURRENT_TERMS</v>
      </c>
      <c r="B20" s="0" t="str">
        <f aca="false">CalcInputs!B20</f>
        <v>VG-010</v>
      </c>
      <c r="C20" s="4" t="n">
        <f aca="false">-CalcInputs!C20</f>
        <v>-28838197916.6667</v>
      </c>
      <c r="D20" s="4" t="n">
        <f aca="false">CalcInputs!O20</f>
        <v>2864970969.07503</v>
      </c>
      <c r="E20" s="4" t="n">
        <f aca="false">CalcInputs!P20</f>
        <v>3203460874.75345</v>
      </c>
      <c r="F20" s="4" t="n">
        <f aca="false">CalcInputs!Q20</f>
        <v>3211568781.76635</v>
      </c>
      <c r="G20" s="4" t="n">
        <f aca="false">CalcInputs!R20</f>
        <v>3219597085.11897</v>
      </c>
      <c r="H20" s="4" t="n">
        <f aca="false">CalcInputs!S20</f>
        <v>3094032820.47705</v>
      </c>
      <c r="I20" s="4" t="n">
        <f aca="false">CalcInputs!T20</f>
        <v>3235403663.96721</v>
      </c>
      <c r="J20" s="4" t="n">
        <f aca="false">CalcInputs!U20</f>
        <v>3243176175.51234</v>
      </c>
      <c r="K20" s="4" t="n">
        <f aca="false">CalcInputs!V20</f>
        <v>3250857552.94413</v>
      </c>
      <c r="L20" s="4" t="n">
        <f aca="false">CalcInputs!W20</f>
        <v>3258444752.9878</v>
      </c>
      <c r="M20" s="4" t="n">
        <f aca="false">CalcInputs!X20</f>
        <v>3132424489.92104</v>
      </c>
      <c r="N20" s="4" t="n">
        <f aca="false">CalcInputs!Y20</f>
        <v>3273324111.90654</v>
      </c>
      <c r="O20" s="4" t="n">
        <f aca="false">CalcInputs!Z20</f>
        <v>3280609844.19519</v>
      </c>
      <c r="P20" s="4" t="n">
        <f aca="false">CalcInputs!AA20</f>
        <v>3287788543.10371</v>
      </c>
      <c r="Q20" s="4" t="n">
        <f aca="false">CalcInputs!AB20</f>
        <v>3294856816.86176</v>
      </c>
      <c r="R20" s="4" t="n">
        <f aca="false">CalcInputs!AC20</f>
        <v>3657509776.84942</v>
      </c>
      <c r="S20" s="4" t="n">
        <f aca="false">-(CalcInputs!C20-CalcInputs!D20)</f>
        <v>-13494548429.3166</v>
      </c>
      <c r="T20" s="4" t="n">
        <f aca="false">D20-CalcInputs!AD20</f>
        <v>661147146.709623</v>
      </c>
      <c r="U20" s="4" t="n">
        <f aca="false">D20-CalcInputs!AE20</f>
        <v>739260201.866182</v>
      </c>
      <c r="V20" s="4" t="n">
        <f aca="false">D20-CalcInputs!AF20</f>
        <v>741131257.330697</v>
      </c>
      <c r="W20" s="4" t="n">
        <f aca="false">D20-CalcInputs!AG20</f>
        <v>742983942.719762</v>
      </c>
      <c r="X20" s="4" t="n">
        <f aca="false">D20-CalcInputs!AH20</f>
        <v>714007573.956243</v>
      </c>
      <c r="Y20" s="4" t="n">
        <f aca="false">D20-CalcInputs!AI20</f>
        <v>746631614.761664</v>
      </c>
      <c r="Z20" s="4" t="n">
        <f aca="false">D20-CalcInputs!AJ20</f>
        <v>748425271.272078</v>
      </c>
      <c r="AA20" s="4" t="n">
        <f aca="false">D20-CalcInputs!AK20</f>
        <v>750197896.83326</v>
      </c>
      <c r="AB20" s="4" t="n">
        <f aca="false">D20-CalcInputs!AL20</f>
        <v>751948789.151031</v>
      </c>
      <c r="AC20" s="4" t="n">
        <f aca="false">D20-CalcInputs!AM20</f>
        <v>2057164783.42345</v>
      </c>
      <c r="AD20" s="4" t="n">
        <f aca="false">D20</f>
        <v>3273324111.90654</v>
      </c>
      <c r="AE20" s="4" t="n">
        <f aca="false">D20</f>
        <v>3280609844.19519</v>
      </c>
      <c r="AF20" s="4" t="n">
        <f aca="false">D20</f>
        <v>3287788543.10371</v>
      </c>
      <c r="AG20" s="4" t="n">
        <f aca="false">D20</f>
        <v>3294856816.86176</v>
      </c>
      <c r="AH20" s="4" t="n">
        <f aca="false">D20</f>
        <v>3657509776.84942</v>
      </c>
    </row>
    <row r="21" customFormat="false" ht="13.8" hidden="false" customHeight="false" outlineLevel="0" collapsed="false">
      <c r="A21" s="0" t="str">
        <f aca="false">CalcInputs!A21</f>
        <v>NEGOTIATED_TERMS</v>
      </c>
      <c r="B21" s="0" t="str">
        <f aca="false">CalcInputs!B21</f>
        <v>VG-010</v>
      </c>
      <c r="C21" s="4" t="n">
        <f aca="false">-CalcInputs!C21</f>
        <v>-23070558333.3333</v>
      </c>
      <c r="D21" s="4" t="n">
        <f aca="false">CalcInputs!O21</f>
        <v>3193449356.52863</v>
      </c>
      <c r="E21" s="4" t="n">
        <f aca="false">CalcInputs!P21</f>
        <v>3579683019.34887</v>
      </c>
      <c r="F21" s="4" t="n">
        <f aca="false">CalcInputs!Q21</f>
        <v>3590005692.84094</v>
      </c>
      <c r="G21" s="4" t="n">
        <f aca="false">CalcInputs!R21</f>
        <v>3600259725.7668</v>
      </c>
      <c r="H21" s="4" t="n">
        <f aca="false">CalcInputs!S21</f>
        <v>3503634243.16755</v>
      </c>
      <c r="I21" s="4" t="n">
        <f aca="false">CalcInputs!T21</f>
        <v>3620550870.38164</v>
      </c>
      <c r="J21" s="4" t="n">
        <f aca="false">CalcInputs!U21</f>
        <v>3630582327.46194</v>
      </c>
      <c r="K21" s="4" t="n">
        <f aca="false">CalcInputs!V21</f>
        <v>3640533832.2093</v>
      </c>
      <c r="L21" s="4" t="n">
        <f aca="false">CalcInputs!W21</f>
        <v>3650402396.69877</v>
      </c>
      <c r="M21" s="4" t="n">
        <f aca="false">CalcInputs!X21</f>
        <v>3553376825.93983</v>
      </c>
      <c r="N21" s="4" t="n">
        <f aca="false">CalcInputs!Y21</f>
        <v>3669878418.67024</v>
      </c>
      <c r="O21" s="4" t="n">
        <f aca="false">CalcInputs!Z21</f>
        <v>3679479561.64079</v>
      </c>
      <c r="P21" s="4" t="n">
        <f aca="false">CalcInputs!AA21</f>
        <v>3688985132.51409</v>
      </c>
      <c r="Q21" s="4" t="n">
        <f aca="false">CalcInputs!AB21</f>
        <v>3698391796.25315</v>
      </c>
      <c r="R21" s="4" t="n">
        <f aca="false">CalcInputs!AC21</f>
        <v>4112435672.79611</v>
      </c>
      <c r="S21" s="4" t="n">
        <f aca="false">-(CalcInputs!C21-CalcInputs!D21)</f>
        <v>-8074695416.66667</v>
      </c>
      <c r="T21" s="4" t="n">
        <f aca="false">D21-CalcInputs!AD21</f>
        <v>736949851.506607</v>
      </c>
      <c r="U21" s="4" t="n">
        <f aca="false">D21-CalcInputs!AE21</f>
        <v>826080696.772816</v>
      </c>
      <c r="V21" s="4" t="n">
        <f aca="false">D21-CalcInputs!AF21</f>
        <v>828462852.194064</v>
      </c>
      <c r="W21" s="4" t="n">
        <f aca="false">D21-CalcInputs!AG21</f>
        <v>830829167.484647</v>
      </c>
      <c r="X21" s="4" t="n">
        <f aca="false">D21-CalcInputs!AH21</f>
        <v>808530979.192511</v>
      </c>
      <c r="Y21" s="4" t="n">
        <f aca="false">D21-CalcInputs!AI21</f>
        <v>835511739.31884</v>
      </c>
      <c r="Z21" s="4" t="n">
        <f aca="false">D21-CalcInputs!AJ21</f>
        <v>837826690.952756</v>
      </c>
      <c r="AA21" s="4" t="n">
        <f aca="false">D21-CalcInputs!AK21</f>
        <v>1421816185.33111</v>
      </c>
      <c r="AB21" s="4" t="n">
        <f aca="false">D21-CalcInputs!AL21</f>
        <v>3650402396.69877</v>
      </c>
      <c r="AC21" s="4" t="n">
        <f aca="false">D21-CalcInputs!AM21</f>
        <v>3553376825.93983</v>
      </c>
      <c r="AD21" s="4" t="n">
        <f aca="false">D21</f>
        <v>3669878418.67024</v>
      </c>
      <c r="AE21" s="4" t="n">
        <f aca="false">D21</f>
        <v>3679479561.64079</v>
      </c>
      <c r="AF21" s="4" t="n">
        <f aca="false">D21</f>
        <v>3688985132.51409</v>
      </c>
      <c r="AG21" s="4" t="n">
        <f aca="false">D21</f>
        <v>3698391796.25315</v>
      </c>
      <c r="AH21" s="4" t="n">
        <f aca="false">D21</f>
        <v>4112435672.79611</v>
      </c>
    </row>
    <row r="22" customFormat="false" ht="13.8" hidden="false" customHeight="false" outlineLevel="0" collapsed="false">
      <c r="A22" s="0" t="str">
        <f aca="false">CalcInputs!A22</f>
        <v>CURRENT_TERMS</v>
      </c>
      <c r="B22" s="0" t="str">
        <f aca="false">CalcInputs!B22</f>
        <v>VG-011</v>
      </c>
      <c r="C22" s="4" t="n">
        <f aca="false">-CalcInputs!C22</f>
        <v>-26619875000</v>
      </c>
      <c r="D22" s="4" t="n">
        <f aca="false">CalcInputs!O22</f>
        <v>2673674979.82479</v>
      </c>
      <c r="E22" s="4" t="n">
        <f aca="false">CalcInputs!P22</f>
        <v>2989601681.11001</v>
      </c>
      <c r="F22" s="4" t="n">
        <f aca="false">CalcInputs!Q22</f>
        <v>2997247079.29262</v>
      </c>
      <c r="G22" s="4" t="n">
        <f aca="false">CalcInputs!R22</f>
        <v>3004819794.99622</v>
      </c>
      <c r="H22" s="4" t="n">
        <f aca="false">CalcInputs!S22</f>
        <v>2889077095.86153</v>
      </c>
      <c r="I22" s="4" t="n">
        <f aca="false">CalcInputs!T22</f>
        <v>3019736840.7434</v>
      </c>
      <c r="J22" s="4" t="n">
        <f aca="false">CalcInputs!U22</f>
        <v>3027075858.17445</v>
      </c>
      <c r="K22" s="4" t="n">
        <f aca="false">CalcInputs!V22</f>
        <v>3034331565.54595</v>
      </c>
      <c r="L22" s="4" t="n">
        <f aca="false">CalcInputs!W22</f>
        <v>3041501157.70919</v>
      </c>
      <c r="M22" s="4" t="n">
        <f aca="false">CalcInputs!X22</f>
        <v>2925341605.73765</v>
      </c>
      <c r="N22" s="4" t="n">
        <f aca="false">CalcInputs!Y22</f>
        <v>3055570465.84949</v>
      </c>
      <c r="O22" s="4" t="n">
        <f aca="false">CalcInputs!Z22</f>
        <v>3062464257.74903</v>
      </c>
      <c r="P22" s="4" t="n">
        <f aca="false">CalcInputs!AA22</f>
        <v>3069260083.68311</v>
      </c>
      <c r="Q22" s="4" t="n">
        <f aca="false">CalcInputs!AB22</f>
        <v>3075954816.91552</v>
      </c>
      <c r="R22" s="4" t="n">
        <f aca="false">CalcInputs!AC22</f>
        <v>3414451292.60686</v>
      </c>
      <c r="S22" s="4" t="n">
        <f aca="false">-(CalcInputs!C22-CalcInputs!D22)</f>
        <v>-12298268501.2704</v>
      </c>
      <c r="T22" s="4" t="n">
        <f aca="false">D22-CalcInputs!AD22</f>
        <v>617001918.421106</v>
      </c>
      <c r="U22" s="4" t="n">
        <f aca="false">D22-CalcInputs!AE22</f>
        <v>689908080.256156</v>
      </c>
      <c r="V22" s="4" t="n">
        <f aca="false">D22-CalcInputs!AF22</f>
        <v>691672402.913681</v>
      </c>
      <c r="W22" s="4" t="n">
        <f aca="false">D22-CalcInputs!AG22</f>
        <v>693419952.691436</v>
      </c>
      <c r="X22" s="4" t="n">
        <f aca="false">D22-CalcInputs!AH22</f>
        <v>666710099.044969</v>
      </c>
      <c r="Y22" s="4" t="n">
        <f aca="false">D22-CalcInputs!AI22</f>
        <v>696862347.863861</v>
      </c>
      <c r="Z22" s="4" t="n">
        <f aca="false">D22-CalcInputs!AJ22</f>
        <v>698555967.271027</v>
      </c>
      <c r="AA22" s="4" t="n">
        <f aca="false">D22-CalcInputs!AK22</f>
        <v>700230361.279835</v>
      </c>
      <c r="AB22" s="4" t="n">
        <f aca="false">D22-CalcInputs!AL22</f>
        <v>701884882.548275</v>
      </c>
      <c r="AC22" s="4" t="n">
        <f aca="false">D22-CalcInputs!AM22</f>
        <v>1920498645.7581</v>
      </c>
      <c r="AD22" s="4" t="n">
        <f aca="false">D22</f>
        <v>3055570465.84949</v>
      </c>
      <c r="AE22" s="4" t="n">
        <f aca="false">D22</f>
        <v>3062464257.74903</v>
      </c>
      <c r="AF22" s="4" t="n">
        <f aca="false">D22</f>
        <v>3069260083.68311</v>
      </c>
      <c r="AG22" s="4" t="n">
        <f aca="false">D22</f>
        <v>3075954816.91552</v>
      </c>
      <c r="AH22" s="4" t="n">
        <f aca="false">D22</f>
        <v>3414451292.60686</v>
      </c>
    </row>
    <row r="23" customFormat="false" ht="13.8" hidden="false" customHeight="false" outlineLevel="0" collapsed="false">
      <c r="A23" s="0" t="str">
        <f aca="false">CalcInputs!A23</f>
        <v>NEGOTIATED_TERMS</v>
      </c>
      <c r="B23" s="0" t="str">
        <f aca="false">CalcInputs!B23</f>
        <v>VG-011</v>
      </c>
      <c r="C23" s="4" t="n">
        <f aca="false">-CalcInputs!C23</f>
        <v>-21295900000</v>
      </c>
      <c r="D23" s="4" t="n">
        <f aca="false">CalcInputs!O23</f>
        <v>2965535011.50588</v>
      </c>
      <c r="E23" s="4" t="n">
        <f aca="false">CalcInputs!P23</f>
        <v>3324176978.33839</v>
      </c>
      <c r="F23" s="4" t="n">
        <f aca="false">CalcInputs!Q23</f>
        <v>3333803878.27005</v>
      </c>
      <c r="G23" s="4" t="n">
        <f aca="false">CalcInputs!R23</f>
        <v>3343367904.15638</v>
      </c>
      <c r="H23" s="4" t="n">
        <f aca="false">CalcInputs!S23</f>
        <v>3254274404.59721</v>
      </c>
      <c r="I23" s="4" t="n">
        <f aca="false">CalcInputs!T23</f>
        <v>3362297190.01727</v>
      </c>
      <c r="J23" s="4" t="n">
        <f aca="false">CalcInputs!U23</f>
        <v>3371657235.20501</v>
      </c>
      <c r="K23" s="4" t="n">
        <f aca="false">CalcInputs!V23</f>
        <v>3380943974.42059</v>
      </c>
      <c r="L23" s="4" t="n">
        <f aca="false">CalcInputs!W23</f>
        <v>3390154652.03554</v>
      </c>
      <c r="M23" s="4" t="n">
        <f aca="false">CalcInputs!X23</f>
        <v>3300694321.2961</v>
      </c>
      <c r="N23" s="4" t="n">
        <f aca="false">CalcInputs!Y23</f>
        <v>3408336491.20991</v>
      </c>
      <c r="O23" s="4" t="n">
        <f aca="false">CalcInputs!Z23</f>
        <v>3417301828.96275</v>
      </c>
      <c r="P23" s="4" t="n">
        <f aca="false">CalcInputs!AA23</f>
        <v>3426179454.90213</v>
      </c>
      <c r="Q23" s="4" t="n">
        <f aca="false">CalcInputs!AB23</f>
        <v>3434966293.04984</v>
      </c>
      <c r="R23" s="4" t="n">
        <f aca="false">CalcInputs!AC23</f>
        <v>3819441065.77503</v>
      </c>
      <c r="S23" s="4" t="n">
        <f aca="false">-(CalcInputs!C23-CalcInputs!D23)</f>
        <v>-7453565000</v>
      </c>
      <c r="T23" s="4" t="n">
        <f aca="false">D23-CalcInputs!AD23</f>
        <v>684354233.424435</v>
      </c>
      <c r="U23" s="4" t="n">
        <f aca="false">D23-CalcInputs!AE23</f>
        <v>767117764.231936</v>
      </c>
      <c r="V23" s="4" t="n">
        <f aca="false">D23-CalcInputs!AF23</f>
        <v>769339356.523859</v>
      </c>
      <c r="W23" s="4" t="n">
        <f aca="false">D23-CalcInputs!AG23</f>
        <v>771546439.420703</v>
      </c>
      <c r="X23" s="4" t="n">
        <f aca="false">D23-CalcInputs!AH23</f>
        <v>750986401.060895</v>
      </c>
      <c r="Y23" s="4" t="n">
        <f aca="false">D23-CalcInputs!AI23</f>
        <v>775914736.157833</v>
      </c>
      <c r="Z23" s="4" t="n">
        <f aca="false">D23-CalcInputs!AJ23</f>
        <v>778074746.585772</v>
      </c>
      <c r="AA23" s="4" t="n">
        <f aca="false">D23-CalcInputs!AK23</f>
        <v>1481537834.82313</v>
      </c>
      <c r="AB23" s="4" t="n">
        <f aca="false">D23-CalcInputs!AL23</f>
        <v>3390154652.03554</v>
      </c>
      <c r="AC23" s="4" t="n">
        <f aca="false">D23-CalcInputs!AM23</f>
        <v>3300694321.2961</v>
      </c>
      <c r="AD23" s="4" t="n">
        <f aca="false">D23</f>
        <v>3408336491.20991</v>
      </c>
      <c r="AE23" s="4" t="n">
        <f aca="false">D23</f>
        <v>3417301828.96275</v>
      </c>
      <c r="AF23" s="4" t="n">
        <f aca="false">D23</f>
        <v>3426179454.90213</v>
      </c>
      <c r="AG23" s="4" t="n">
        <f aca="false">D23</f>
        <v>3434966293.04984</v>
      </c>
      <c r="AH23" s="4" t="n">
        <f aca="false">D23</f>
        <v>3819441065.77503</v>
      </c>
    </row>
    <row r="24" customFormat="false" ht="13.8" hidden="false" customHeight="false" outlineLevel="0" collapsed="false">
      <c r="A24" s="0" t="str">
        <f aca="false">CalcInputs!A24</f>
        <v>CURRENT_TERMS</v>
      </c>
      <c r="B24" s="0" t="str">
        <f aca="false">CalcInputs!B24</f>
        <v>VG-012</v>
      </c>
      <c r="C24" s="4" t="n">
        <f aca="false">-CalcInputs!C24</f>
        <v>-25510713541.6667</v>
      </c>
      <c r="D24" s="4" t="n">
        <f aca="false">CalcInputs!O24</f>
        <v>2478648475.82981</v>
      </c>
      <c r="E24" s="4" t="n">
        <f aca="false">CalcInputs!P24</f>
        <v>2771422432.66691</v>
      </c>
      <c r="F24" s="4" t="n">
        <f aca="false">CalcInputs!Q24</f>
        <v>2778285890.65884</v>
      </c>
      <c r="G24" s="4" t="n">
        <f aca="false">CalcInputs!R24</f>
        <v>2785077400.86783</v>
      </c>
      <c r="H24" s="4" t="n">
        <f aca="false">CalcInputs!S24</f>
        <v>2673689333.42886</v>
      </c>
      <c r="I24" s="4" t="n">
        <f aca="false">CalcInputs!T24</f>
        <v>2798434625.00097</v>
      </c>
      <c r="J24" s="4" t="n">
        <f aca="false">CalcInputs!U24</f>
        <v>2804995224.79454</v>
      </c>
      <c r="K24" s="4" t="n">
        <f aca="false">CalcInputs!V24</f>
        <v>2811473646.28608</v>
      </c>
      <c r="L24" s="4" t="n">
        <f aca="false">CalcInputs!W24</f>
        <v>2817867189.62757</v>
      </c>
      <c r="M24" s="4" t="n">
        <f aca="false">CalcInputs!X24</f>
        <v>2706067940.45996</v>
      </c>
      <c r="N24" s="4" t="n">
        <f aca="false">CalcInputs!Y24</f>
        <v>2830388545.13019</v>
      </c>
      <c r="O24" s="4" t="n">
        <f aca="false">CalcInputs!Z24</f>
        <v>2836510656.6016</v>
      </c>
      <c r="P24" s="4" t="n">
        <f aca="false">CalcInputs!AA24</f>
        <v>2842536486.04925</v>
      </c>
      <c r="Q24" s="4" t="n">
        <f aca="false">CalcInputs!AB24</f>
        <v>2848463025.14761</v>
      </c>
      <c r="R24" s="4" t="n">
        <f aca="false">CalcInputs!AC24</f>
        <v>3162103276.45005</v>
      </c>
      <c r="S24" s="4" t="n">
        <f aca="false">-(CalcInputs!C24-CalcInputs!D24)</f>
        <v>-12240774152.931</v>
      </c>
      <c r="T24" s="4" t="n">
        <f aca="false">D24-CalcInputs!AD24</f>
        <v>571995802.114572</v>
      </c>
      <c r="U24" s="4" t="n">
        <f aca="false">D24-CalcInputs!AE24</f>
        <v>639559022.923132</v>
      </c>
      <c r="V24" s="4" t="n">
        <f aca="false">D24-CalcInputs!AF24</f>
        <v>641142897.844348</v>
      </c>
      <c r="W24" s="4" t="n">
        <f aca="false">D24-CalcInputs!AG24</f>
        <v>642710169.431038</v>
      </c>
      <c r="X24" s="4" t="n">
        <f aca="false">D24-CalcInputs!AH24</f>
        <v>617005230.791277</v>
      </c>
      <c r="Y24" s="4" t="n">
        <f aca="false">D24-CalcInputs!AI24</f>
        <v>645792605.769454</v>
      </c>
      <c r="Z24" s="4" t="n">
        <f aca="false">D24-CalcInputs!AJ24</f>
        <v>647306590.337201</v>
      </c>
      <c r="AA24" s="4" t="n">
        <f aca="false">D24-CalcInputs!AK24</f>
        <v>648801610.681403</v>
      </c>
      <c r="AB24" s="4" t="n">
        <f aca="false">D24-CalcInputs!AL24</f>
        <v>650277043.76021</v>
      </c>
      <c r="AC24" s="4" t="n">
        <f aca="false">D24-CalcInputs!AM24</f>
        <v>1778443110.61303</v>
      </c>
      <c r="AD24" s="4" t="n">
        <f aca="false">D24</f>
        <v>2830388545.13019</v>
      </c>
      <c r="AE24" s="4" t="n">
        <f aca="false">D24</f>
        <v>2836510656.6016</v>
      </c>
      <c r="AF24" s="4" t="n">
        <f aca="false">D24</f>
        <v>2842536486.04925</v>
      </c>
      <c r="AG24" s="4" t="n">
        <f aca="false">D24</f>
        <v>2848463025.14761</v>
      </c>
      <c r="AH24" s="4" t="n">
        <f aca="false">D24</f>
        <v>3162103276.45005</v>
      </c>
    </row>
    <row r="25" customFormat="false" ht="13.8" hidden="false" customHeight="false" outlineLevel="0" collapsed="false">
      <c r="A25" s="0" t="str">
        <f aca="false">CalcInputs!A25</f>
        <v>NEGOTIATED_TERMS</v>
      </c>
      <c r="B25" s="0" t="str">
        <f aca="false">CalcInputs!B25</f>
        <v>VG-012</v>
      </c>
      <c r="C25" s="4" t="n">
        <f aca="false">-CalcInputs!C25</f>
        <v>-20408570833.3333</v>
      </c>
      <c r="D25" s="4" t="n">
        <f aca="false">CalcInputs!O25</f>
        <v>2790981186.93971</v>
      </c>
      <c r="E25" s="4" t="n">
        <f aca="false">CalcInputs!P25</f>
        <v>3128588804.40548</v>
      </c>
      <c r="F25" s="4" t="n">
        <f aca="false">CalcInputs!Q25</f>
        <v>3137532033.54747</v>
      </c>
      <c r="G25" s="4" t="n">
        <f aca="false">CalcInputs!R25</f>
        <v>3146413609.77371</v>
      </c>
      <c r="H25" s="4" t="n">
        <f aca="false">CalcInputs!S25</f>
        <v>3060746985.23588</v>
      </c>
      <c r="I25" s="4" t="n">
        <f aca="false">CalcInputs!T25</f>
        <v>3163982054.63355</v>
      </c>
      <c r="J25" s="4" t="n">
        <f aca="false">CalcInputs!U25</f>
        <v>3172663911.81376</v>
      </c>
      <c r="K25" s="4" t="n">
        <f aca="false">CalcInputs!V25</f>
        <v>3181274090.916</v>
      </c>
      <c r="L25" s="4" t="n">
        <f aca="false">CalcInputs!W25</f>
        <v>3189809944.06837</v>
      </c>
      <c r="M25" s="4" t="n">
        <f aca="false">CalcInputs!X25</f>
        <v>3103784640.20229</v>
      </c>
      <c r="N25" s="4" t="n">
        <f aca="false">CalcInputs!Y25</f>
        <v>3206647784.98537</v>
      </c>
      <c r="O25" s="4" t="n">
        <f aca="false">CalcInputs!Z25</f>
        <v>3214944177.30401</v>
      </c>
      <c r="P25" s="4" t="n">
        <f aca="false">CalcInputs!AA25</f>
        <v>3223155050.28909</v>
      </c>
      <c r="Q25" s="4" t="n">
        <f aca="false">CalcInputs!AB25</f>
        <v>3231277448.89039</v>
      </c>
      <c r="R25" s="4" t="n">
        <f aca="false">CalcInputs!AC25</f>
        <v>3593176217.12088</v>
      </c>
      <c r="S25" s="4" t="n">
        <f aca="false">-(CalcInputs!C25-CalcInputs!D25)</f>
        <v>-7142999791.66667</v>
      </c>
      <c r="T25" s="4" t="n">
        <f aca="false">D25-CalcInputs!AD25</f>
        <v>644072581.601472</v>
      </c>
      <c r="U25" s="4" t="n">
        <f aca="false">D25-CalcInputs!AE25</f>
        <v>721982031.785879</v>
      </c>
      <c r="V25" s="4" t="n">
        <f aca="false">D25-CalcInputs!AF25</f>
        <v>724045853.89557</v>
      </c>
      <c r="W25" s="4" t="n">
        <f aca="false">D25-CalcInputs!AG25</f>
        <v>726095448.409319</v>
      </c>
      <c r="X25" s="4" t="n">
        <f aca="false">D25-CalcInputs!AH25</f>
        <v>706326227.362127</v>
      </c>
      <c r="Y25" s="4" t="n">
        <f aca="false">D25-CalcInputs!AI25</f>
        <v>730149704.915435</v>
      </c>
      <c r="Z25" s="4" t="n">
        <f aca="false">D25-CalcInputs!AJ25</f>
        <v>732153210.41856</v>
      </c>
      <c r="AA25" s="4" t="n">
        <f aca="false">D25-CalcInputs!AK25</f>
        <v>933667231.506227</v>
      </c>
      <c r="AB25" s="4" t="n">
        <f aca="false">D25-CalcInputs!AL25</f>
        <v>3189809944.06837</v>
      </c>
      <c r="AC25" s="4" t="n">
        <f aca="false">D25-CalcInputs!AM25</f>
        <v>3103784640.20229</v>
      </c>
      <c r="AD25" s="4" t="n">
        <f aca="false">D25</f>
        <v>3206647784.98537</v>
      </c>
      <c r="AE25" s="4" t="n">
        <f aca="false">D25</f>
        <v>3214944177.30401</v>
      </c>
      <c r="AF25" s="4" t="n">
        <f aca="false">D25</f>
        <v>3223155050.28909</v>
      </c>
      <c r="AG25" s="4" t="n">
        <f aca="false">D25</f>
        <v>3231277448.89039</v>
      </c>
      <c r="AH25" s="4" t="n">
        <f aca="false">D25</f>
        <v>3593176217.12088</v>
      </c>
    </row>
    <row r="26" customFormat="false" ht="13.8" hidden="false" customHeight="false" outlineLevel="0" collapsed="false">
      <c r="A26" s="0" t="str">
        <f aca="false">CalcInputs!A26</f>
        <v>CURRENT_TERMS</v>
      </c>
      <c r="B26" s="0" t="str">
        <f aca="false">CalcInputs!B26</f>
        <v>VG-013</v>
      </c>
      <c r="C26" s="4" t="n">
        <f aca="false">-CalcInputs!C26</f>
        <v>-23292390625</v>
      </c>
      <c r="D26" s="4" t="n">
        <f aca="false">CalcInputs!O26</f>
        <v>2250388528.82615</v>
      </c>
      <c r="E26" s="4" t="n">
        <f aca="false">CalcInputs!P26</f>
        <v>2516183795.43258</v>
      </c>
      <c r="F26" s="4" t="n">
        <f aca="false">CalcInputs!Q26</f>
        <v>2522379916.34845</v>
      </c>
      <c r="G26" s="4" t="n">
        <f aca="false">CalcInputs!R26</f>
        <v>2528509996.76284</v>
      </c>
      <c r="H26" s="4" t="n">
        <f aca="false">CalcInputs!S26</f>
        <v>2426736633.76688</v>
      </c>
      <c r="I26" s="4" t="n">
        <f aca="false">CalcInputs!T26</f>
        <v>2540562941.70421</v>
      </c>
      <c r="J26" s="4" t="n">
        <f aca="false">CalcInputs!U26</f>
        <v>2546481133.32635</v>
      </c>
      <c r="K26" s="4" t="n">
        <f aca="false">CalcInputs!V26</f>
        <v>2552323936.57566</v>
      </c>
      <c r="L26" s="4" t="n">
        <f aca="false">CalcInputs!W26</f>
        <v>2558088884.61127</v>
      </c>
      <c r="M26" s="4" t="n">
        <f aca="false">CalcInputs!X26</f>
        <v>2455938314.72568</v>
      </c>
      <c r="N26" s="4" t="n">
        <f aca="false">CalcInputs!Y26</f>
        <v>2569375076.15158</v>
      </c>
      <c r="O26" s="4" t="n">
        <f aca="false">CalcInputs!Z26</f>
        <v>2574891111.11041</v>
      </c>
      <c r="P26" s="4" t="n">
        <f aca="false">CalcInputs!AA26</f>
        <v>2580318871.48636</v>
      </c>
      <c r="Q26" s="4" t="n">
        <f aca="false">CalcInputs!AB26</f>
        <v>2585655608.74111</v>
      </c>
      <c r="R26" s="4" t="n">
        <f aca="false">CalcInputs!AC26</f>
        <v>2870386589.66989</v>
      </c>
      <c r="S26" s="4" t="n">
        <f aca="false">-(CalcInputs!C26-CalcInputs!D26)</f>
        <v>-11245588020.9623</v>
      </c>
      <c r="T26" s="4" t="n">
        <f aca="false">D26-CalcInputs!AD26</f>
        <v>519320429.729111</v>
      </c>
      <c r="U26" s="4" t="n">
        <f aca="false">D26-CalcInputs!AE26</f>
        <v>580657798.94598</v>
      </c>
      <c r="V26" s="4" t="n">
        <f aca="false">D26-CalcInputs!AF26</f>
        <v>582087673.003487</v>
      </c>
      <c r="W26" s="4" t="n">
        <f aca="false">D26-CalcInputs!AG26</f>
        <v>583502306.945272</v>
      </c>
      <c r="X26" s="4" t="n">
        <f aca="false">D26-CalcInputs!AH26</f>
        <v>560016146.253896</v>
      </c>
      <c r="Y26" s="4" t="n">
        <f aca="false">D26-CalcInputs!AI26</f>
        <v>586283755.777895</v>
      </c>
      <c r="Z26" s="4" t="n">
        <f aca="false">D26-CalcInputs!AJ26</f>
        <v>587649492.306081</v>
      </c>
      <c r="AA26" s="4" t="n">
        <f aca="false">D26-CalcInputs!AK26</f>
        <v>588997831.51746</v>
      </c>
      <c r="AB26" s="4" t="n">
        <f aca="false">D26-CalcInputs!AL26</f>
        <v>590328204.141064</v>
      </c>
      <c r="AC26" s="4" t="n">
        <f aca="false">D26-CalcInputs!AM26</f>
        <v>1614355811.69735</v>
      </c>
      <c r="AD26" s="4" t="n">
        <f aca="false">D26</f>
        <v>2569375076.15158</v>
      </c>
      <c r="AE26" s="4" t="n">
        <f aca="false">D26</f>
        <v>2574891111.11041</v>
      </c>
      <c r="AF26" s="4" t="n">
        <f aca="false">D26</f>
        <v>2580318871.48636</v>
      </c>
      <c r="AG26" s="4" t="n">
        <f aca="false">D26</f>
        <v>2585655608.74111</v>
      </c>
      <c r="AH26" s="4" t="n">
        <f aca="false">D26</f>
        <v>2870386589.66989</v>
      </c>
    </row>
    <row r="27" customFormat="false" ht="13.8" hidden="false" customHeight="false" outlineLevel="0" collapsed="false">
      <c r="A27" s="0" t="str">
        <f aca="false">CalcInputs!A27</f>
        <v>NEGOTIATED_TERMS</v>
      </c>
      <c r="B27" s="0" t="str">
        <f aca="false">CalcInputs!B27</f>
        <v>VG-013</v>
      </c>
      <c r="C27" s="4" t="n">
        <f aca="false">-CalcInputs!C27</f>
        <v>-18633912500</v>
      </c>
      <c r="D27" s="4" t="n">
        <f aca="false">CalcInputs!O27</f>
        <v>2540527843.28682</v>
      </c>
      <c r="E27" s="4" t="n">
        <f aca="false">CalcInputs!P27</f>
        <v>2847851395.35177</v>
      </c>
      <c r="F27" s="4" t="n">
        <f aca="false">CalcInputs!Q27</f>
        <v>2855973955.66154</v>
      </c>
      <c r="G27" s="4" t="n">
        <f aca="false">CalcInputs!R27</f>
        <v>2864040011.34485</v>
      </c>
      <c r="H27" s="4" t="n">
        <f aca="false">CalcInputs!S27</f>
        <v>2785779235.05185</v>
      </c>
      <c r="I27" s="4" t="n">
        <f aca="false">CalcInputs!T27</f>
        <v>2879993703.493</v>
      </c>
      <c r="J27" s="4" t="n">
        <f aca="false">CalcInputs!U27</f>
        <v>2887876762.1603</v>
      </c>
      <c r="K27" s="4" t="n">
        <f aca="false">CalcInputs!V27</f>
        <v>2895694158.54665</v>
      </c>
      <c r="L27" s="4" t="n">
        <f aca="false">CalcInputs!W27</f>
        <v>2903443473.95532</v>
      </c>
      <c r="M27" s="4" t="n">
        <f aca="false">CalcInputs!X27</f>
        <v>2824854122.41777</v>
      </c>
      <c r="N27" s="4" t="n">
        <f aca="false">CalcInputs!Y27</f>
        <v>2918727916.7192</v>
      </c>
      <c r="O27" s="4" t="n">
        <f aca="false">CalcInputs!Z27</f>
        <v>2926257933.01315</v>
      </c>
      <c r="P27" s="4" t="n">
        <f aca="false">CalcInputs!AA27</f>
        <v>2933709643.93182</v>
      </c>
      <c r="Q27" s="4" t="n">
        <f aca="false">CalcInputs!AB27</f>
        <v>2941080350.28449</v>
      </c>
      <c r="R27" s="4" t="n">
        <f aca="false">CalcInputs!AC27</f>
        <v>3270511974.40613</v>
      </c>
      <c r="S27" s="4" t="n">
        <f aca="false">-(CalcInputs!C27-CalcInputs!D27)</f>
        <v>-6521869375</v>
      </c>
      <c r="T27" s="4" t="n">
        <f aca="false">D27-CalcInputs!AD27</f>
        <v>586275656.143113</v>
      </c>
      <c r="U27" s="4" t="n">
        <f aca="false">D27-CalcInputs!AE27</f>
        <v>657196475.85041</v>
      </c>
      <c r="V27" s="4" t="n">
        <f aca="false">D27-CalcInputs!AF27</f>
        <v>659070912.844972</v>
      </c>
      <c r="W27" s="4" t="n">
        <f aca="false">D27-CalcInputs!AG27</f>
        <v>660932310.310349</v>
      </c>
      <c r="X27" s="4" t="n">
        <f aca="false">D27-CalcInputs!AH27</f>
        <v>642872131.165813</v>
      </c>
      <c r="Y27" s="4" t="n">
        <f aca="false">D27-CalcInputs!AI27</f>
        <v>664613931.575308</v>
      </c>
      <c r="Z27" s="4" t="n">
        <f aca="false">D27-CalcInputs!AJ27</f>
        <v>666433098.96007</v>
      </c>
      <c r="AA27" s="4" t="n">
        <f aca="false">D27-CalcInputs!AK27</f>
        <v>778500971.779696</v>
      </c>
      <c r="AB27" s="4" t="n">
        <f aca="false">D27-CalcInputs!AL27</f>
        <v>2903443473.95532</v>
      </c>
      <c r="AC27" s="4" t="n">
        <f aca="false">D27-CalcInputs!AM27</f>
        <v>2824854122.41777</v>
      </c>
      <c r="AD27" s="4" t="n">
        <f aca="false">D27</f>
        <v>2918727916.7192</v>
      </c>
      <c r="AE27" s="4" t="n">
        <f aca="false">D27</f>
        <v>2926257933.01315</v>
      </c>
      <c r="AF27" s="4" t="n">
        <f aca="false">D27</f>
        <v>2933709643.93182</v>
      </c>
      <c r="AG27" s="4" t="n">
        <f aca="false">D27</f>
        <v>2941080350.28449</v>
      </c>
      <c r="AH27" s="4" t="n">
        <f aca="false">D27</f>
        <v>3270511974.40613</v>
      </c>
    </row>
    <row r="28" customFormat="false" ht="13.8" hidden="false" customHeight="false" outlineLevel="0" collapsed="false">
      <c r="A28" s="0" t="str">
        <f aca="false">CalcInputs!A28</f>
        <v>CURRENT_TERMS</v>
      </c>
      <c r="B28" s="0" t="str">
        <f aca="false">CalcInputs!B28</f>
        <v>VG-014</v>
      </c>
      <c r="C28" s="4" t="n">
        <f aca="false">-CalcInputs!C28</f>
        <v>-27729036458.3333</v>
      </c>
      <c r="D28" s="4" t="n">
        <f aca="false">CalcInputs!O28</f>
        <v>2648735636.86087</v>
      </c>
      <c r="E28" s="4" t="n">
        <f aca="false">CalcInputs!P28</f>
        <v>2961539322.61067</v>
      </c>
      <c r="F28" s="4" t="n">
        <f aca="false">CalcInputs!Q28</f>
        <v>2968747765.02958</v>
      </c>
      <c r="G28" s="4" t="n">
        <f aca="false">CalcInputs!R28</f>
        <v>2975876756.73847</v>
      </c>
      <c r="H28" s="4" t="n">
        <f aca="false">CalcInputs!S28</f>
        <v>2854548433.01773</v>
      </c>
      <c r="I28" s="4" t="n">
        <f aca="false">CalcInputs!T28</f>
        <v>2989885544.90425</v>
      </c>
      <c r="J28" s="4" t="n">
        <f aca="false">CalcInputs!U28</f>
        <v>2996759770.09045</v>
      </c>
      <c r="K28" s="4" t="n">
        <f aca="false">CalcInputs!V28</f>
        <v>3003543399.57067</v>
      </c>
      <c r="L28" s="4" t="n">
        <f aca="false">CalcInputs!W28</f>
        <v>3010233492.43374</v>
      </c>
      <c r="M28" s="4" t="n">
        <f aca="false">CalcInputs!X28</f>
        <v>2888451874.57316</v>
      </c>
      <c r="N28" s="4" t="n">
        <f aca="false">CalcInputs!Y28</f>
        <v>3023320981.31421</v>
      </c>
      <c r="O28" s="4" t="n">
        <f aca="false">CalcInputs!Z28</f>
        <v>3029712168.18587</v>
      </c>
      <c r="P28" s="4" t="n">
        <f aca="false">CalcInputs!AA28</f>
        <v>3035997397.43737</v>
      </c>
      <c r="Q28" s="4" t="n">
        <f aca="false">CalcInputs!AB28</f>
        <v>3042173392.69862</v>
      </c>
      <c r="R28" s="4" t="n">
        <f aca="false">CalcInputs!AC28</f>
        <v>3377243119.89235</v>
      </c>
      <c r="S28" s="4" t="n">
        <f aca="false">-(CalcInputs!C28-CalcInputs!D28)</f>
        <v>-13552435767.2513</v>
      </c>
      <c r="T28" s="4" t="n">
        <f aca="false">D28-CalcInputs!AD28</f>
        <v>611246685.429432</v>
      </c>
      <c r="U28" s="4" t="n">
        <f aca="false">D28-CalcInputs!AE28</f>
        <v>683432151.371692</v>
      </c>
      <c r="V28" s="4" t="n">
        <f aca="false">D28-CalcInputs!AF28</f>
        <v>685095638.083749</v>
      </c>
      <c r="W28" s="4" t="n">
        <f aca="false">D28-CalcInputs!AG28</f>
        <v>686740790.01657</v>
      </c>
      <c r="X28" s="4" t="n">
        <f aca="false">D28-CalcInputs!AH28</f>
        <v>658741946.081015</v>
      </c>
      <c r="Y28" s="4" t="n">
        <f aca="false">D28-CalcInputs!AI28</f>
        <v>689973587.285595</v>
      </c>
      <c r="Z28" s="4" t="n">
        <f aca="false">D28-CalcInputs!AJ28</f>
        <v>691559946.943951</v>
      </c>
      <c r="AA28" s="4" t="n">
        <f aca="false">D28-CalcInputs!AK28</f>
        <v>693125399.900924</v>
      </c>
      <c r="AB28" s="4" t="n">
        <f aca="false">D28-CalcInputs!AL28</f>
        <v>694669267.484709</v>
      </c>
      <c r="AC28" s="4" t="n">
        <f aca="false">D28-CalcInputs!AM28</f>
        <v>1899375795.10195</v>
      </c>
      <c r="AD28" s="4" t="n">
        <f aca="false">D28</f>
        <v>3023320981.31421</v>
      </c>
      <c r="AE28" s="4" t="n">
        <f aca="false">D28</f>
        <v>3029712168.18587</v>
      </c>
      <c r="AF28" s="4" t="n">
        <f aca="false">D28</f>
        <v>3035997397.43737</v>
      </c>
      <c r="AG28" s="4" t="n">
        <f aca="false">D28</f>
        <v>3042173392.69862</v>
      </c>
      <c r="AH28" s="4" t="n">
        <f aca="false">D28</f>
        <v>3377243119.89235</v>
      </c>
    </row>
    <row r="29" customFormat="false" ht="13.8" hidden="false" customHeight="false" outlineLevel="0" collapsed="false">
      <c r="A29" s="0" t="str">
        <f aca="false">CalcInputs!A29</f>
        <v>NEGOTIATED_TERMS</v>
      </c>
      <c r="B29" s="0" t="str">
        <f aca="false">CalcInputs!B29</f>
        <v>VG-014</v>
      </c>
      <c r="C29" s="4" t="n">
        <f aca="false">-CalcInputs!C29</f>
        <v>-22183229166.6667</v>
      </c>
      <c r="D29" s="4" t="n">
        <f aca="false">CalcInputs!O29</f>
        <v>3005963319.6337</v>
      </c>
      <c r="E29" s="4" t="n">
        <f aca="false">CalcInputs!P29</f>
        <v>3369617830.96493</v>
      </c>
      <c r="F29" s="4" t="n">
        <f aca="false">CalcInputs!Q29</f>
        <v>3379185172.4458</v>
      </c>
      <c r="G29" s="4" t="n">
        <f aca="false">CalcInputs!R29</f>
        <v>3388684739.767</v>
      </c>
      <c r="H29" s="4" t="n">
        <f aca="false">CalcInputs!S29</f>
        <v>3295413759.76558</v>
      </c>
      <c r="I29" s="4" t="n">
        <f aca="false">CalcInputs!T29</f>
        <v>3407469940.29027</v>
      </c>
      <c r="J29" s="4" t="n">
        <f aca="false">CalcInputs!U29</f>
        <v>3416750118.67924</v>
      </c>
      <c r="K29" s="4" t="n">
        <f aca="false">CalcInputs!V29</f>
        <v>3425951610.83058</v>
      </c>
      <c r="L29" s="4" t="n">
        <f aca="false">CalcInputs!W29</f>
        <v>3435071534.78499</v>
      </c>
      <c r="M29" s="4" t="n">
        <f aca="false">CalcInputs!X29</f>
        <v>3341406809.43737</v>
      </c>
      <c r="N29" s="4" t="n">
        <f aca="false">CalcInputs!Y29</f>
        <v>3453054828.37678</v>
      </c>
      <c r="O29" s="4" t="n">
        <f aca="false">CalcInputs!Z29</f>
        <v>3461912108.23699</v>
      </c>
      <c r="P29" s="4" t="n">
        <f aca="false">CalcInputs!AA29</f>
        <v>3470675637.63736</v>
      </c>
      <c r="Q29" s="4" t="n">
        <f aca="false">CalcInputs!AB29</f>
        <v>3479342200.63319</v>
      </c>
      <c r="R29" s="4" t="n">
        <f aca="false">CalcInputs!AC29</f>
        <v>3869147262.67839</v>
      </c>
      <c r="S29" s="4" t="n">
        <f aca="false">-(CalcInputs!C29-CalcInputs!D29)</f>
        <v>-7764130208.33333</v>
      </c>
      <c r="T29" s="4" t="n">
        <f aca="false">D29-CalcInputs!AD29</f>
        <v>693683842.992391</v>
      </c>
      <c r="U29" s="4" t="n">
        <f aca="false">D29-CalcInputs!AE29</f>
        <v>777604114.838061</v>
      </c>
      <c r="V29" s="4" t="n">
        <f aca="false">D29-CalcInputs!AF29</f>
        <v>779811962.872108</v>
      </c>
      <c r="W29" s="4" t="n">
        <f aca="false">D29-CalcInputs!AG29</f>
        <v>782004170.715462</v>
      </c>
      <c r="X29" s="4" t="n">
        <f aca="false">D29-CalcInputs!AH29</f>
        <v>760480098.407441</v>
      </c>
      <c r="Y29" s="4" t="n">
        <f aca="false">D29-CalcInputs!AI29</f>
        <v>786339216.990063</v>
      </c>
      <c r="Z29" s="4" t="n">
        <f aca="false">D29-CalcInputs!AJ29</f>
        <v>788480796.618287</v>
      </c>
      <c r="AA29" s="4" t="n">
        <f aca="false">D29-CalcInputs!AK29</f>
        <v>790604217.883979</v>
      </c>
      <c r="AB29" s="4" t="n">
        <f aca="false">D29-CalcInputs!AL29</f>
        <v>3391720384.49626</v>
      </c>
      <c r="AC29" s="4" t="n">
        <f aca="false">D29-CalcInputs!AM29</f>
        <v>3341406809.43737</v>
      </c>
      <c r="AD29" s="4" t="n">
        <f aca="false">D29</f>
        <v>3453054828.37678</v>
      </c>
      <c r="AE29" s="4" t="n">
        <f aca="false">D29</f>
        <v>3461912108.23699</v>
      </c>
      <c r="AF29" s="4" t="n">
        <f aca="false">D29</f>
        <v>3470675637.63736</v>
      </c>
      <c r="AG29" s="4" t="n">
        <f aca="false">D29</f>
        <v>3479342200.63319</v>
      </c>
      <c r="AH29" s="4" t="n">
        <f aca="false">D29</f>
        <v>3869147262.67839</v>
      </c>
    </row>
    <row r="30" customFormat="false" ht="13.8" hidden="false" customHeight="false" outlineLevel="0" collapsed="false">
      <c r="A30" s="0" t="str">
        <f aca="false">CalcInputs!A30</f>
        <v>CURRENT_TERMS</v>
      </c>
      <c r="B30" s="0" t="str">
        <f aca="false">CalcInputs!B30</f>
        <v>VG-015</v>
      </c>
      <c r="C30" s="4" t="n">
        <f aca="false">-CalcInputs!C30</f>
        <v>-26619875000</v>
      </c>
      <c r="D30" s="4" t="n">
        <f aca="false">CalcInputs!O30</f>
        <v>2530391608.25345</v>
      </c>
      <c r="E30" s="4" t="n">
        <f aca="false">CalcInputs!P30</f>
        <v>2829202563.92137</v>
      </c>
      <c r="F30" s="4" t="n">
        <f aca="false">CalcInputs!Q30</f>
        <v>2836053986.47389</v>
      </c>
      <c r="G30" s="4" t="n">
        <f aca="false">CalcInputs!R30</f>
        <v>2842828796.36805</v>
      </c>
      <c r="H30" s="4" t="n">
        <f aca="false">CalcInputs!S30</f>
        <v>2726284241.79015</v>
      </c>
      <c r="I30" s="4" t="n">
        <f aca="false">CalcInputs!T30</f>
        <v>2856138162.04436</v>
      </c>
      <c r="J30" s="4" t="n">
        <f aca="false">CalcInputs!U30</f>
        <v>2862667366.01585</v>
      </c>
      <c r="K30" s="4" t="n">
        <f aca="false">CalcInputs!V30</f>
        <v>2869109251.35117</v>
      </c>
      <c r="L30" s="4" t="n">
        <f aca="false">CalcInputs!W30</f>
        <v>2875460993.05915</v>
      </c>
      <c r="M30" s="4" t="n">
        <f aca="false">CalcInputs!X30</f>
        <v>2758479542.27259</v>
      </c>
      <c r="N30" s="4" t="n">
        <f aca="false">CalcInputs!Y30</f>
        <v>2887882435.17028</v>
      </c>
      <c r="O30" s="4" t="n">
        <f aca="false">CalcInputs!Z30</f>
        <v>2893946171.31795</v>
      </c>
      <c r="P30" s="4" t="n">
        <f aca="false">CalcInputs!AA30</f>
        <v>2899907832.7242</v>
      </c>
      <c r="Q30" s="4" t="n">
        <f aca="false">CalcInputs!AB30</f>
        <v>2905764272.31436</v>
      </c>
      <c r="R30" s="4" t="n">
        <f aca="false">CalcInputs!AC30</f>
        <v>3225837525.63157</v>
      </c>
      <c r="S30" s="4" t="n">
        <f aca="false">-(CalcInputs!C30-CalcInputs!D30)</f>
        <v>-13077768285.7975</v>
      </c>
      <c r="T30" s="4" t="n">
        <f aca="false">D30-CalcInputs!AD30</f>
        <v>583936524.981566</v>
      </c>
      <c r="U30" s="4" t="n">
        <f aca="false">D30-CalcInputs!AE30</f>
        <v>652892899.366471</v>
      </c>
      <c r="V30" s="4" t="n">
        <f aca="false">D30-CalcInputs!AF30</f>
        <v>654473996.878591</v>
      </c>
      <c r="W30" s="4" t="n">
        <f aca="false">D30-CalcInputs!AG30</f>
        <v>656037414.546474</v>
      </c>
      <c r="X30" s="4" t="n">
        <f aca="false">D30-CalcInputs!AH30</f>
        <v>629142517.336188</v>
      </c>
      <c r="Y30" s="4" t="n">
        <f aca="false">D30-CalcInputs!AI30</f>
        <v>659108806.625621</v>
      </c>
      <c r="Z30" s="4" t="n">
        <f aca="false">D30-CalcInputs!AJ30</f>
        <v>660615546.003659</v>
      </c>
      <c r="AA30" s="4" t="n">
        <f aca="false">D30-CalcInputs!AK30</f>
        <v>662102134.927193</v>
      </c>
      <c r="AB30" s="4" t="n">
        <f aca="false">D30-CalcInputs!AL30</f>
        <v>663567921.475187</v>
      </c>
      <c r="AC30" s="4" t="n">
        <f aca="false">D30-CalcInputs!AM30</f>
        <v>1814206011.65869</v>
      </c>
      <c r="AD30" s="4" t="n">
        <f aca="false">D30</f>
        <v>2887882435.17028</v>
      </c>
      <c r="AE30" s="4" t="n">
        <f aca="false">D30</f>
        <v>2893946171.31795</v>
      </c>
      <c r="AF30" s="4" t="n">
        <f aca="false">D30</f>
        <v>2899907832.7242</v>
      </c>
      <c r="AG30" s="4" t="n">
        <f aca="false">D30</f>
        <v>2905764272.31436</v>
      </c>
      <c r="AH30" s="4" t="n">
        <f aca="false">D30</f>
        <v>3225837525.63157</v>
      </c>
    </row>
    <row r="31" customFormat="false" ht="13.8" hidden="false" customHeight="false" outlineLevel="0" collapsed="false">
      <c r="A31" s="0" t="str">
        <f aca="false">CalcInputs!A31</f>
        <v>NEGOTIATED_TERMS</v>
      </c>
      <c r="B31" s="0" t="str">
        <f aca="false">CalcInputs!B31</f>
        <v>VG-015</v>
      </c>
      <c r="C31" s="4" t="n">
        <f aca="false">-CalcInputs!C31</f>
        <v>-21295900000</v>
      </c>
      <c r="D31" s="4" t="n">
        <f aca="false">CalcInputs!O31</f>
        <v>2878167102.01116</v>
      </c>
      <c r="E31" s="4" t="n">
        <f aca="false">CalcInputs!P31</f>
        <v>3226372638.58922</v>
      </c>
      <c r="F31" s="4" t="n">
        <f aca="false">CalcInputs!Q31</f>
        <v>3235515407.03912</v>
      </c>
      <c r="G31" s="4" t="n">
        <f aca="false">CalcInputs!R31</f>
        <v>3244592904.99286</v>
      </c>
      <c r="H31" s="4" t="n">
        <f aca="false">CalcInputs!S31</f>
        <v>3155010469.18783</v>
      </c>
      <c r="I31" s="4" t="n">
        <f aca="false">CalcInputs!T31</f>
        <v>3262541898.12762</v>
      </c>
      <c r="J31" s="4" t="n">
        <f aca="false">CalcInputs!U31</f>
        <v>3271408154.6205</v>
      </c>
      <c r="K31" s="4" t="n">
        <f aca="false">CalcInputs!V31</f>
        <v>3280198660.88719</v>
      </c>
      <c r="L31" s="4" t="n">
        <f aca="false">CalcInputs!W31</f>
        <v>3288910649.20014</v>
      </c>
      <c r="M31" s="4" t="n">
        <f aca="false">CalcInputs!X31</f>
        <v>3198949160.64667</v>
      </c>
      <c r="N31" s="4" t="n">
        <f aca="false">CalcInputs!Y31</f>
        <v>3306087692.01526</v>
      </c>
      <c r="O31" s="4" t="n">
        <f aca="false">CalcInputs!Z31</f>
        <v>3314546898.2121</v>
      </c>
      <c r="P31" s="4" t="n">
        <f aca="false">CalcInputs!AA31</f>
        <v>3322915887.24425</v>
      </c>
      <c r="Q31" s="4" t="n">
        <f aca="false">CalcInputs!AB31</f>
        <v>3331191570.73206</v>
      </c>
      <c r="R31" s="4" t="n">
        <f aca="false">CalcInputs!AC31</f>
        <v>3704432671.2779</v>
      </c>
      <c r="S31" s="4" t="n">
        <f aca="false">-(CalcInputs!C31-CalcInputs!D31)</f>
        <v>-7453565000</v>
      </c>
      <c r="T31" s="4" t="n">
        <f aca="false">D31-CalcInputs!AD31</f>
        <v>664192408.156422</v>
      </c>
      <c r="U31" s="4" t="n">
        <f aca="false">D31-CalcInputs!AE31</f>
        <v>744547531.982128</v>
      </c>
      <c r="V31" s="4" t="n">
        <f aca="false">D31-CalcInputs!AF31</f>
        <v>746657401.624414</v>
      </c>
      <c r="W31" s="4" t="n">
        <f aca="false">D31-CalcInputs!AG31</f>
        <v>748752208.844506</v>
      </c>
      <c r="X31" s="4" t="n">
        <f aca="false">D31-CalcInputs!AH31</f>
        <v>728079339.043346</v>
      </c>
      <c r="Y31" s="4" t="n">
        <f aca="false">D31-CalcInputs!AI31</f>
        <v>752894284.183296</v>
      </c>
      <c r="Z31" s="4" t="n">
        <f aca="false">D31-CalcInputs!AJ31</f>
        <v>754940343.373961</v>
      </c>
      <c r="AA31" s="4" t="n">
        <f aca="false">D31-CalcInputs!AK31</f>
        <v>756968921.743197</v>
      </c>
      <c r="AB31" s="4" t="n">
        <f aca="false">D31-CalcInputs!AL31</f>
        <v>3171295579.88089</v>
      </c>
      <c r="AC31" s="4" t="n">
        <f aca="false">D31-CalcInputs!AM31</f>
        <v>3198949160.64667</v>
      </c>
      <c r="AD31" s="4" t="n">
        <f aca="false">D31</f>
        <v>3306087692.01526</v>
      </c>
      <c r="AE31" s="4" t="n">
        <f aca="false">D31</f>
        <v>3314546898.2121</v>
      </c>
      <c r="AF31" s="4" t="n">
        <f aca="false">D31</f>
        <v>3322915887.24425</v>
      </c>
      <c r="AG31" s="4" t="n">
        <f aca="false">D31</f>
        <v>3331191570.73206</v>
      </c>
      <c r="AH31" s="4" t="n">
        <f aca="false">D31</f>
        <v>3704432671.2779</v>
      </c>
    </row>
    <row r="32" customFormat="false" ht="13.8" hidden="false" customHeight="false" outlineLevel="0" collapsed="false">
      <c r="A32" s="0" t="str">
        <f aca="false">CalcInputs!A32</f>
        <v>CURRENT_TERMS</v>
      </c>
      <c r="B32" s="0" t="str">
        <f aca="false">CalcInputs!B32</f>
        <v>VG-016</v>
      </c>
      <c r="C32" s="4" t="n">
        <f aca="false">-CalcInputs!C32</f>
        <v>-22183229166.6667</v>
      </c>
      <c r="D32" s="4" t="n">
        <f aca="false">CalcInputs!O32</f>
        <v>2288363541.81746</v>
      </c>
      <c r="E32" s="4" t="n">
        <f aca="false">CalcInputs!P32</f>
        <v>2558838984.49856</v>
      </c>
      <c r="F32" s="4" t="n">
        <f aca="false">CalcInputs!Q32</f>
        <v>2565544295.68942</v>
      </c>
      <c r="G32" s="4" t="n">
        <f aca="false">CalcInputs!R32</f>
        <v>2572190692.17068</v>
      </c>
      <c r="H32" s="4" t="n">
        <f aca="false">CalcInputs!S32</f>
        <v>2476075905.16365</v>
      </c>
      <c r="I32" s="4" t="n">
        <f aca="false">CalcInputs!T32</f>
        <v>2585298158.60867</v>
      </c>
      <c r="J32" s="4" t="n">
        <f aca="false">CalcInputs!U32</f>
        <v>2591754817.88493</v>
      </c>
      <c r="K32" s="4" t="n">
        <f aca="false">CalcInputs!V32</f>
        <v>2598143739.12807</v>
      </c>
      <c r="L32" s="4" t="n">
        <f aca="false">CalcInputs!W32</f>
        <v>274339078.996398</v>
      </c>
      <c r="M32" s="4" t="n">
        <f aca="false">CalcInputs!X32</f>
        <v>0</v>
      </c>
      <c r="N32" s="4" t="n">
        <f aca="false">CalcInputs!Y32</f>
        <v>0</v>
      </c>
      <c r="O32" s="4" t="n">
        <f aca="false">CalcInputs!Z32</f>
        <v>0</v>
      </c>
      <c r="P32" s="4" t="n">
        <f aca="false">CalcInputs!AA32</f>
        <v>0</v>
      </c>
      <c r="Q32" s="4" t="n">
        <f aca="false">CalcInputs!AB32</f>
        <v>0</v>
      </c>
      <c r="R32" s="4" t="n">
        <f aca="false">CalcInputs!AC32</f>
        <v>0</v>
      </c>
      <c r="S32" s="4" t="n">
        <f aca="false">-(CalcInputs!C32-CalcInputs!D32)</f>
        <v>-11570454828.2887</v>
      </c>
      <c r="T32" s="4" t="n">
        <f aca="false">D32-CalcInputs!AD32</f>
        <v>528083894.265569</v>
      </c>
      <c r="U32" s="4" t="n">
        <f aca="false">D32-CalcInputs!AE32</f>
        <v>590501304.115053</v>
      </c>
      <c r="V32" s="4" t="n">
        <f aca="false">D32-CalcInputs!AF32</f>
        <v>592048683.620636</v>
      </c>
      <c r="W32" s="4" t="n">
        <f aca="false">D32-CalcInputs!AG32</f>
        <v>593582467.424002</v>
      </c>
      <c r="X32" s="4" t="n">
        <f aca="false">D32-CalcInputs!AH32</f>
        <v>571402131.960842</v>
      </c>
      <c r="Y32" s="4" t="n">
        <f aca="false">D32-CalcInputs!AI32</f>
        <v>596607267.371232</v>
      </c>
      <c r="Z32" s="4" t="n">
        <f aca="false">D32-CalcInputs!AJ32</f>
        <v>598097265.665752</v>
      </c>
      <c r="AA32" s="4" t="n">
        <f aca="false">D32-CalcInputs!AK32</f>
        <v>1189033127.69199</v>
      </c>
      <c r="AB32" s="4" t="n">
        <f aca="false">D32-CalcInputs!AL32</f>
        <v>274339078.996398</v>
      </c>
      <c r="AC32" s="4" t="n">
        <f aca="false">D32-CalcInputs!AM32</f>
        <v>0</v>
      </c>
      <c r="AD32" s="4" t="n">
        <f aca="false">D32</f>
        <v>0</v>
      </c>
      <c r="AE32" s="4" t="n">
        <f aca="false">D32</f>
        <v>0</v>
      </c>
      <c r="AF32" s="4" t="n">
        <f aca="false">D32</f>
        <v>0</v>
      </c>
      <c r="AG32" s="4" t="n">
        <f aca="false">D32</f>
        <v>0</v>
      </c>
      <c r="AH32" s="4" t="n">
        <f aca="false">D32</f>
        <v>0</v>
      </c>
    </row>
    <row r="33" customFormat="false" ht="13.8" hidden="false" customHeight="false" outlineLevel="0" collapsed="false">
      <c r="A33" s="0" t="str">
        <f aca="false">CalcInputs!A33</f>
        <v>NEGOTIATED_TERMS</v>
      </c>
      <c r="B33" s="0" t="str">
        <f aca="false">CalcInputs!B33</f>
        <v>VG-016</v>
      </c>
      <c r="C33" s="4" t="n">
        <f aca="false">-CalcInputs!C33</f>
        <v>-17746583333.3333</v>
      </c>
      <c r="D33" s="4" t="n">
        <f aca="false">CalcInputs!O33</f>
        <v>2382601148.85764</v>
      </c>
      <c r="E33" s="4" t="n">
        <f aca="false">CalcInputs!P33</f>
        <v>2670876525.71304</v>
      </c>
      <c r="F33" s="4" t="n">
        <f aca="false">CalcInputs!Q33</f>
        <v>2678407551.08939</v>
      </c>
      <c r="G33" s="4" t="n">
        <f aca="false">CalcInputs!R33</f>
        <v>2685883749.04136</v>
      </c>
      <c r="H33" s="4" t="n">
        <f aca="false">CalcInputs!S33</f>
        <v>2611142898.0285</v>
      </c>
      <c r="I33" s="4" t="n">
        <f aca="false">CalcInputs!T33</f>
        <v>2700663161.30483</v>
      </c>
      <c r="J33" s="4" t="n">
        <f aca="false">CalcInputs!U33</f>
        <v>2707962005.70091</v>
      </c>
      <c r="K33" s="4" t="n">
        <f aca="false">CalcInputs!V33</f>
        <v>2715197280.88023</v>
      </c>
      <c r="L33" s="4" t="n">
        <f aca="false">CalcInputs!W33</f>
        <v>2722366678.20522</v>
      </c>
      <c r="M33" s="4" t="n">
        <f aca="false">CalcInputs!X33</f>
        <v>2647307729.7065</v>
      </c>
      <c r="N33" s="4" t="n">
        <f aca="false">CalcInputs!Y33</f>
        <v>2736498347.1547</v>
      </c>
      <c r="O33" s="4" t="n">
        <f aca="false">CalcInputs!Z33</f>
        <v>2743455740.74091</v>
      </c>
      <c r="P33" s="4" t="n">
        <f aca="false">CalcInputs!AA33</f>
        <v>2750337498.22925</v>
      </c>
      <c r="Q33" s="4" t="n">
        <f aca="false">CalcInputs!AB33</f>
        <v>2757141043.71711</v>
      </c>
      <c r="R33" s="4" t="n">
        <f aca="false">CalcInputs!AC33</f>
        <v>3066134561.91944</v>
      </c>
      <c r="S33" s="4" t="n">
        <f aca="false">-(CalcInputs!C33-CalcInputs!D33)</f>
        <v>-6211304166.66667</v>
      </c>
      <c r="T33" s="4" t="n">
        <f aca="false">D33-CalcInputs!AD33</f>
        <v>549831034.351763</v>
      </c>
      <c r="U33" s="4" t="n">
        <f aca="false">D33-CalcInputs!AE33</f>
        <v>616356121.318394</v>
      </c>
      <c r="V33" s="4" t="n">
        <f aca="false">D33-CalcInputs!AF33</f>
        <v>618094050.251399</v>
      </c>
      <c r="W33" s="4" t="n">
        <f aca="false">D33-CalcInputs!AG33</f>
        <v>619819326.701852</v>
      </c>
      <c r="X33" s="4" t="n">
        <f aca="false">D33-CalcInputs!AH33</f>
        <v>602571438.006576</v>
      </c>
      <c r="Y33" s="4" t="n">
        <f aca="false">D33-CalcInputs!AI33</f>
        <v>623229960.301114</v>
      </c>
      <c r="Z33" s="4" t="n">
        <f aca="false">D33-CalcInputs!AJ33</f>
        <v>624914309.007903</v>
      </c>
      <c r="AA33" s="4" t="n">
        <f aca="false">D33-CalcInputs!AK33</f>
        <v>626583987.895437</v>
      </c>
      <c r="AB33" s="4" t="n">
        <f aca="false">D33-CalcInputs!AL33</f>
        <v>2464755397.31088</v>
      </c>
      <c r="AC33" s="4" t="n">
        <f aca="false">D33-CalcInputs!AM33</f>
        <v>2647307729.7065</v>
      </c>
      <c r="AD33" s="4" t="n">
        <f aca="false">D33</f>
        <v>2736498347.1547</v>
      </c>
      <c r="AE33" s="4" t="n">
        <f aca="false">D33</f>
        <v>2743455740.74091</v>
      </c>
      <c r="AF33" s="4" t="n">
        <f aca="false">D33</f>
        <v>2750337498.22925</v>
      </c>
      <c r="AG33" s="4" t="n">
        <f aca="false">D33</f>
        <v>2757141043.71711</v>
      </c>
      <c r="AH33" s="4" t="n">
        <f aca="false">D33</f>
        <v>3066134561.91944</v>
      </c>
    </row>
    <row r="34" customFormat="false" ht="13.8" hidden="false" customHeight="false" outlineLevel="0" collapsed="false">
      <c r="A34" s="0" t="str">
        <f aca="false">CalcInputs!A34</f>
        <v>CURRENT_TERMS</v>
      </c>
      <c r="B34" s="0" t="str">
        <f aca="false">CalcInputs!B34</f>
        <v>VG-017</v>
      </c>
      <c r="C34" s="4" t="n">
        <f aca="false">-CalcInputs!C34</f>
        <v>-26619875000</v>
      </c>
      <c r="D34" s="4" t="n">
        <f aca="false">CalcInputs!O34</f>
        <v>2520769080.86589</v>
      </c>
      <c r="E34" s="4" t="n">
        <f aca="false">CalcInputs!P34</f>
        <v>2818430588.91016</v>
      </c>
      <c r="F34" s="4" t="n">
        <f aca="false">CalcInputs!Q34</f>
        <v>2825228690.18638</v>
      </c>
      <c r="G34" s="4" t="n">
        <f aca="false">CalcInputs!R34</f>
        <v>2831949914.86391</v>
      </c>
      <c r="H34" s="4" t="n">
        <f aca="false">CalcInputs!S34</f>
        <v>2715351509.82256</v>
      </c>
      <c r="I34" s="4" t="n">
        <f aca="false">CalcInputs!T34</f>
        <v>2845151313.05354</v>
      </c>
      <c r="J34" s="4" t="n">
        <f aca="false">CalcInputs!U34</f>
        <v>2851626132.12253</v>
      </c>
      <c r="K34" s="4" t="n">
        <f aca="false">CalcInputs!V34</f>
        <v>2858013363.35007</v>
      </c>
      <c r="L34" s="4" t="n">
        <f aca="false">CalcInputs!W34</f>
        <v>2864310180.41244</v>
      </c>
      <c r="M34" s="4" t="n">
        <f aca="false">CalcInputs!X34</f>
        <v>2747273533.10329</v>
      </c>
      <c r="N34" s="4" t="n">
        <f aca="false">CalcInputs!Y34</f>
        <v>2876620956.25558</v>
      </c>
      <c r="O34" s="4" t="n">
        <f aca="false">CalcInputs!Z34</f>
        <v>2882628948.08263</v>
      </c>
      <c r="P34" s="4" t="n">
        <f aca="false">CalcInputs!AA34</f>
        <v>2888534589.23387</v>
      </c>
      <c r="Q34" s="4" t="n">
        <f aca="false">CalcInputs!AB34</f>
        <v>2894334731.26874</v>
      </c>
      <c r="R34" s="4" t="n">
        <f aca="false">CalcInputs!AC34</f>
        <v>3213170730.32596</v>
      </c>
      <c r="S34" s="4" t="n">
        <f aca="false">-(CalcInputs!C34-CalcInputs!D34)</f>
        <v>-13130117403.0953</v>
      </c>
      <c r="T34" s="4" t="n">
        <f aca="false">D34-CalcInputs!AD34</f>
        <v>581715941.738282</v>
      </c>
      <c r="U34" s="4" t="n">
        <f aca="false">D34-CalcInputs!AE34</f>
        <v>650407058.979269</v>
      </c>
      <c r="V34" s="4" t="n">
        <f aca="false">D34-CalcInputs!AF34</f>
        <v>651975851.581472</v>
      </c>
      <c r="W34" s="4" t="n">
        <f aca="false">D34-CalcInputs!AG34</f>
        <v>653526903.430134</v>
      </c>
      <c r="X34" s="4" t="n">
        <f aca="false">D34-CalcInputs!AH34</f>
        <v>626619579.189822</v>
      </c>
      <c r="Y34" s="4" t="n">
        <f aca="false">D34-CalcInputs!AI34</f>
        <v>656573379.935432</v>
      </c>
      <c r="Z34" s="4" t="n">
        <f aca="false">D34-CalcInputs!AJ34</f>
        <v>658067568.951352</v>
      </c>
      <c r="AA34" s="4" t="n">
        <f aca="false">D34-CalcInputs!AK34</f>
        <v>659541545.388478</v>
      </c>
      <c r="AB34" s="4" t="n">
        <f aca="false">D34-CalcInputs!AL34</f>
        <v>660994657.018255</v>
      </c>
      <c r="AC34" s="4" t="n">
        <f aca="false">D34-CalcInputs!AM34</f>
        <v>1807067683.10388</v>
      </c>
      <c r="AD34" s="4" t="n">
        <f aca="false">D34</f>
        <v>2876620956.25558</v>
      </c>
      <c r="AE34" s="4" t="n">
        <f aca="false">D34</f>
        <v>2882628948.08263</v>
      </c>
      <c r="AF34" s="4" t="n">
        <f aca="false">D34</f>
        <v>2888534589.23387</v>
      </c>
      <c r="AG34" s="4" t="n">
        <f aca="false">D34</f>
        <v>2894334731.26874</v>
      </c>
      <c r="AH34" s="4" t="n">
        <f aca="false">D34</f>
        <v>3213170730.32596</v>
      </c>
    </row>
    <row r="35" customFormat="false" ht="13.8" hidden="false" customHeight="false" outlineLevel="0" collapsed="false">
      <c r="A35" s="0" t="str">
        <f aca="false">CalcInputs!A35</f>
        <v>NEGOTIATED_TERMS</v>
      </c>
      <c r="B35" s="0" t="str">
        <f aca="false">CalcInputs!B35</f>
        <v>VG-017</v>
      </c>
      <c r="C35" s="4" t="n">
        <f aca="false">-CalcInputs!C35</f>
        <v>-21295900000</v>
      </c>
      <c r="D35" s="4" t="n">
        <f aca="false">CalcInputs!O35</f>
        <v>2733972951.23191</v>
      </c>
      <c r="E35" s="4" t="n">
        <f aca="false">CalcInputs!P35</f>
        <v>3064953946.14003</v>
      </c>
      <c r="F35" s="4" t="n">
        <f aca="false">CalcInputs!Q35</f>
        <v>3073297692.06231</v>
      </c>
      <c r="G35" s="4" t="n">
        <f aca="false">CalcInputs!R35</f>
        <v>3081572212.32691</v>
      </c>
      <c r="H35" s="4" t="n">
        <f aca="false">CalcInputs!S35</f>
        <v>2991182824.09319</v>
      </c>
      <c r="I35" s="4" t="n">
        <f aca="false">CalcInputs!T35</f>
        <v>3097903306.18975</v>
      </c>
      <c r="J35" s="4" t="n">
        <f aca="false">CalcInputs!U35</f>
        <v>3105954601.65255</v>
      </c>
      <c r="K35" s="4" t="n">
        <f aca="false">CalcInputs!V35</f>
        <v>3113926112.83204</v>
      </c>
      <c r="L35" s="4" t="n">
        <f aca="false">CalcInputs!W35</f>
        <v>3121815052.03212</v>
      </c>
      <c r="M35" s="4" t="n">
        <f aca="false">CalcInputs!X35</f>
        <v>3031026440.27267</v>
      </c>
      <c r="N35" s="4" t="n">
        <f aca="false">CalcInputs!Y35</f>
        <v>3137333754.17541</v>
      </c>
      <c r="O35" s="4" t="n">
        <f aca="false">CalcInputs!Z35</f>
        <v>3144957628.37994</v>
      </c>
      <c r="P35" s="4" t="n">
        <f aca="false">CalcInputs!AA35</f>
        <v>3152487150.52643</v>
      </c>
      <c r="Q35" s="4" t="n">
        <f aca="false">CalcInputs!AB35</f>
        <v>3159919211.76748</v>
      </c>
      <c r="R35" s="4" t="n">
        <f aca="false">CalcInputs!AC35</f>
        <v>3514619982.92463</v>
      </c>
      <c r="S35" s="4" t="n">
        <f aca="false">-(CalcInputs!C35-CalcInputs!D35)</f>
        <v>-7453565000</v>
      </c>
      <c r="T35" s="4" t="n">
        <f aca="false">D35-CalcInputs!AD35</f>
        <v>630916834.899671</v>
      </c>
      <c r="U35" s="4" t="n">
        <f aca="false">D35-CalcInputs!AE35</f>
        <v>707297064.493853</v>
      </c>
      <c r="V35" s="4" t="n">
        <f aca="false">D35-CalcInputs!AF35</f>
        <v>709222544.322073</v>
      </c>
      <c r="W35" s="4" t="n">
        <f aca="false">D35-CalcInputs!AG35</f>
        <v>711132048.998518</v>
      </c>
      <c r="X35" s="4" t="n">
        <f aca="false">D35-CalcInputs!AH35</f>
        <v>690272959.40612</v>
      </c>
      <c r="Y35" s="4" t="n">
        <f aca="false">D35-CalcInputs!AI35</f>
        <v>714900762.966867</v>
      </c>
      <c r="Z35" s="4" t="n">
        <f aca="false">D35-CalcInputs!AJ35</f>
        <v>716758754.227511</v>
      </c>
      <c r="AA35" s="4" t="n">
        <f aca="false">D35-CalcInputs!AK35</f>
        <v>718598333.730471</v>
      </c>
      <c r="AB35" s="4" t="n">
        <f aca="false">D35-CalcInputs!AL35</f>
        <v>1554223929.69318</v>
      </c>
      <c r="AC35" s="4" t="n">
        <f aca="false">D35-CalcInputs!AM35</f>
        <v>3031026440.27267</v>
      </c>
      <c r="AD35" s="4" t="n">
        <f aca="false">D35</f>
        <v>3137333754.17541</v>
      </c>
      <c r="AE35" s="4" t="n">
        <f aca="false">D35</f>
        <v>3144957628.37994</v>
      </c>
      <c r="AF35" s="4" t="n">
        <f aca="false">D35</f>
        <v>3152487150.52643</v>
      </c>
      <c r="AG35" s="4" t="n">
        <f aca="false">D35</f>
        <v>3159919211.76748</v>
      </c>
      <c r="AH35" s="4" t="n">
        <f aca="false">D35</f>
        <v>3514619982.92463</v>
      </c>
    </row>
    <row r="36" customFormat="false" ht="13.8" hidden="false" customHeight="false" outlineLevel="0" collapsed="false">
      <c r="A36" s="0" t="str">
        <f aca="false">CalcInputs!A36</f>
        <v>CURRENT_TERMS</v>
      </c>
      <c r="B36" s="0" t="str">
        <f aca="false">CalcInputs!B36</f>
        <v>VG-018</v>
      </c>
      <c r="C36" s="4" t="n">
        <f aca="false">-CalcInputs!C36</f>
        <v>-25510713541.6667</v>
      </c>
      <c r="D36" s="4" t="n">
        <f aca="false">CalcInputs!O36</f>
        <v>2263112158.78871</v>
      </c>
      <c r="E36" s="4" t="n">
        <f aca="false">CalcInputs!P36</f>
        <v>2530139479.89755</v>
      </c>
      <c r="F36" s="4" t="n">
        <f aca="false">CalcInputs!Q36</f>
        <v>2535808587.27328</v>
      </c>
      <c r="G36" s="4" t="n">
        <f aca="false">CalcInputs!R36</f>
        <v>2541399834.83051</v>
      </c>
      <c r="H36" s="4" t="n">
        <f aca="false">CalcInputs!S36</f>
        <v>2428805563.43966</v>
      </c>
      <c r="I36" s="4" t="n">
        <f aca="false">CalcInputs!T36</f>
        <v>2552338680.35032</v>
      </c>
      <c r="J36" s="4" t="n">
        <f aca="false">CalcInputs!U36</f>
        <v>2557681105.21787</v>
      </c>
      <c r="K36" s="4" t="n">
        <f aca="false">CalcInputs!V36</f>
        <v>2562935321.8175</v>
      </c>
      <c r="L36" s="4" t="n">
        <f aca="false">CalcInputs!W36</f>
        <v>2568098600.45288</v>
      </c>
      <c r="M36" s="4" t="n">
        <f aca="false">CalcInputs!X36</f>
        <v>2455062996.76885</v>
      </c>
      <c r="N36" s="4" t="n">
        <f aca="false">CalcInputs!Y36</f>
        <v>2578141126.96781</v>
      </c>
      <c r="O36" s="4" t="n">
        <f aca="false">CalcInputs!Z36</f>
        <v>2583014613.71932</v>
      </c>
      <c r="P36" s="4" t="n">
        <f aca="false">CalcInputs!AA36</f>
        <v>2587785637.7547</v>
      </c>
      <c r="Q36" s="4" t="n">
        <f aca="false">CalcInputs!AB36</f>
        <v>2592451160.154</v>
      </c>
      <c r="R36" s="4" t="n">
        <f aca="false">CalcInputs!AC36</f>
        <v>2878377982.7801</v>
      </c>
      <c r="S36" s="4" t="n">
        <f aca="false">-(CalcInputs!C36-CalcInputs!D36)</f>
        <v>-13413349245.552</v>
      </c>
      <c r="T36" s="4" t="n">
        <f aca="false">D36-CalcInputs!AD36</f>
        <v>522256652.028165</v>
      </c>
      <c r="U36" s="4" t="n">
        <f aca="false">D36-CalcInputs!AE36</f>
        <v>583878341.51482</v>
      </c>
      <c r="V36" s="4" t="n">
        <f aca="false">D36-CalcInputs!AF36</f>
        <v>585186597.063064</v>
      </c>
      <c r="W36" s="4" t="n">
        <f aca="false">D36-CalcInputs!AG36</f>
        <v>586476884.960887</v>
      </c>
      <c r="X36" s="4" t="n">
        <f aca="false">D36-CalcInputs!AH36</f>
        <v>560493591.562999</v>
      </c>
      <c r="Y36" s="4" t="n">
        <f aca="false">D36-CalcInputs!AI36</f>
        <v>589001233.926996</v>
      </c>
      <c r="Z36" s="4" t="n">
        <f aca="false">D36-CalcInputs!AJ36</f>
        <v>590234101.204123</v>
      </c>
      <c r="AA36" s="4" t="n">
        <f aca="false">D36-CalcInputs!AK36</f>
        <v>591446612.727116</v>
      </c>
      <c r="AB36" s="4" t="n">
        <f aca="false">D36-CalcInputs!AL36</f>
        <v>592638138.566049</v>
      </c>
      <c r="AC36" s="4" t="n">
        <f aca="false">D36-CalcInputs!AM36</f>
        <v>1618550705.57582</v>
      </c>
      <c r="AD36" s="4" t="n">
        <f aca="false">D36</f>
        <v>2578141126.96781</v>
      </c>
      <c r="AE36" s="4" t="n">
        <f aca="false">D36</f>
        <v>2583014613.71932</v>
      </c>
      <c r="AF36" s="4" t="n">
        <f aca="false">D36</f>
        <v>2587785637.7547</v>
      </c>
      <c r="AG36" s="4" t="n">
        <f aca="false">D36</f>
        <v>2592451160.154</v>
      </c>
      <c r="AH36" s="4" t="n">
        <f aca="false">D36</f>
        <v>2878377982.7801</v>
      </c>
    </row>
    <row r="37" customFormat="false" ht="13.8" hidden="false" customHeight="false" outlineLevel="0" collapsed="false">
      <c r="A37" s="0" t="str">
        <f aca="false">CalcInputs!A37</f>
        <v>NEGOTIATED_TERMS</v>
      </c>
      <c r="B37" s="0" t="str">
        <f aca="false">CalcInputs!B37</f>
        <v>VG-018</v>
      </c>
      <c r="C37" s="4" t="n">
        <f aca="false">-CalcInputs!C37</f>
        <v>-20408570833.3333</v>
      </c>
      <c r="D37" s="4" t="n">
        <f aca="false">CalcInputs!O37</f>
        <v>2659556603.37807</v>
      </c>
      <c r="E37" s="4" t="n">
        <f aca="false">CalcInputs!P37</f>
        <v>2981465052.71685</v>
      </c>
      <c r="F37" s="4" t="n">
        <f aca="false">CalcInputs!Q37</f>
        <v>2989680019.28798</v>
      </c>
      <c r="G37" s="4" t="n">
        <f aca="false">CalcInputs!R37</f>
        <v>2997829728.04364</v>
      </c>
      <c r="H37" s="4" t="n">
        <f aca="false">CalcInputs!S37</f>
        <v>2911427613.29125</v>
      </c>
      <c r="I37" s="4" t="n">
        <f aca="false">CalcInputs!T37</f>
        <v>3013923551.79779</v>
      </c>
      <c r="J37" s="4" t="n">
        <f aca="false">CalcInputs!U37</f>
        <v>3021862619.38896</v>
      </c>
      <c r="K37" s="4" t="n">
        <f aca="false">CalcInputs!V37</f>
        <v>3029726332.09369</v>
      </c>
      <c r="L37" s="4" t="n">
        <f aca="false">CalcInputs!W37</f>
        <v>3037512023.83989</v>
      </c>
      <c r="M37" s="4" t="n">
        <f aca="false">CalcInputs!X37</f>
        <v>2950732845.26868</v>
      </c>
      <c r="N37" s="4" t="n">
        <f aca="false">CalcInputs!Y37</f>
        <v>3052838383.66684</v>
      </c>
      <c r="O37" s="4" t="n">
        <f aca="false">CalcInputs!Z37</f>
        <v>3060373419.44896</v>
      </c>
      <c r="P37" s="4" t="n">
        <f aca="false">CalcInputs!AA37</f>
        <v>3067819167.18266</v>
      </c>
      <c r="Q37" s="4" t="n">
        <f aca="false">CalcInputs!AB37</f>
        <v>3075172653.16258</v>
      </c>
      <c r="R37" s="4" t="n">
        <f aca="false">CalcInputs!AC37</f>
        <v>3420172989.27334</v>
      </c>
      <c r="S37" s="4" t="n">
        <f aca="false">-(CalcInputs!C37-CalcInputs!D37)</f>
        <v>-7142999791.66667</v>
      </c>
      <c r="T37" s="4" t="n">
        <f aca="false">D37-CalcInputs!AD37</f>
        <v>613743831.548785</v>
      </c>
      <c r="U37" s="4" t="n">
        <f aca="false">D37-CalcInputs!AE37</f>
        <v>688030396.780811</v>
      </c>
      <c r="V37" s="4" t="n">
        <f aca="false">D37-CalcInputs!AF37</f>
        <v>689926158.297226</v>
      </c>
      <c r="W37" s="4" t="n">
        <f aca="false">D37-CalcInputs!AG37</f>
        <v>691806860.317763</v>
      </c>
      <c r="X37" s="4" t="n">
        <f aca="false">D37-CalcInputs!AH37</f>
        <v>671867910.759518</v>
      </c>
      <c r="Y37" s="4" t="n">
        <f aca="false">D37-CalcInputs!AI37</f>
        <v>695520819.645644</v>
      </c>
      <c r="Z37" s="4" t="n">
        <f aca="false">D37-CalcInputs!AJ37</f>
        <v>697352912.166683</v>
      </c>
      <c r="AA37" s="4" t="n">
        <f aca="false">D37-CalcInputs!AK37</f>
        <v>699167615.098545</v>
      </c>
      <c r="AB37" s="4" t="n">
        <f aca="false">D37-CalcInputs!AL37</f>
        <v>1932430023.95399</v>
      </c>
      <c r="AC37" s="4" t="n">
        <f aca="false">D37-CalcInputs!AM37</f>
        <v>2950732845.26868</v>
      </c>
      <c r="AD37" s="4" t="n">
        <f aca="false">D37</f>
        <v>3052838383.66684</v>
      </c>
      <c r="AE37" s="4" t="n">
        <f aca="false">D37</f>
        <v>3060373419.44896</v>
      </c>
      <c r="AF37" s="4" t="n">
        <f aca="false">D37</f>
        <v>3067819167.18266</v>
      </c>
      <c r="AG37" s="4" t="n">
        <f aca="false">D37</f>
        <v>3075172653.16258</v>
      </c>
      <c r="AH37" s="4" t="n">
        <f aca="false">D37</f>
        <v>3420172989.27334</v>
      </c>
    </row>
    <row r="38" customFormat="false" ht="13.8" hidden="false" customHeight="false" outlineLevel="0" collapsed="false">
      <c r="A38" s="0" t="str">
        <f aca="false">CalcInputs!A38</f>
        <v>CURRENT_TERMS</v>
      </c>
      <c r="B38" s="0" t="str">
        <f aca="false">CalcInputs!B38</f>
        <v>VG-019</v>
      </c>
      <c r="C38" s="4" t="n">
        <f aca="false">-CalcInputs!C38</f>
        <v>-23292390625</v>
      </c>
      <c r="D38" s="4" t="n">
        <f aca="false">CalcInputs!O38</f>
        <v>2218656158.36039</v>
      </c>
      <c r="E38" s="4" t="n">
        <f aca="false">CalcInputs!P38</f>
        <v>2480660872.19878</v>
      </c>
      <c r="F38" s="4" t="n">
        <f aca="false">CalcInputs!Q38</f>
        <v>2486681154.64463</v>
      </c>
      <c r="G38" s="4" t="n">
        <f aca="false">CalcInputs!R38</f>
        <v>2492634526.1886</v>
      </c>
      <c r="H38" s="4" t="n">
        <f aca="false">CalcInputs!S38</f>
        <v>2390683579.61329</v>
      </c>
      <c r="I38" s="4" t="n">
        <f aca="false">CalcInputs!T38</f>
        <v>2504331424.93256</v>
      </c>
      <c r="J38" s="4" t="n">
        <f aca="false">CalcInputs!U38</f>
        <v>2510070270.54668</v>
      </c>
      <c r="K38" s="4" t="n">
        <f aca="false">CalcInputs!V38</f>
        <v>2515732840.02523</v>
      </c>
      <c r="L38" s="4" t="n">
        <f aca="false">CalcInputs!W38</f>
        <v>2521316662.13292</v>
      </c>
      <c r="M38" s="4" t="n">
        <f aca="false">CalcInputs!X38</f>
        <v>2418984069.74606</v>
      </c>
      <c r="N38" s="4" t="n">
        <f aca="false">CalcInputs!Y38</f>
        <v>2532237907.65931</v>
      </c>
      <c r="O38" s="4" t="n">
        <f aca="false">CalcInputs!Z38</f>
        <v>2537570113.6341</v>
      </c>
      <c r="P38" s="4" t="n">
        <f aca="false">CalcInputs!AA38</f>
        <v>2542813135.07254</v>
      </c>
      <c r="Q38" s="4" t="n">
        <f aca="false">CalcInputs!AB38</f>
        <v>2547964218.93205</v>
      </c>
      <c r="R38" s="4" t="n">
        <f aca="false">CalcInputs!AC38</f>
        <v>2828615085.67076</v>
      </c>
      <c r="S38" s="4" t="n">
        <f aca="false">-(CalcInputs!C38-CalcInputs!D38)</f>
        <v>-11418220585.8533</v>
      </c>
      <c r="T38" s="4" t="n">
        <f aca="false">D38-CalcInputs!AD38</f>
        <v>511997575.006244</v>
      </c>
      <c r="U38" s="4" t="n">
        <f aca="false">D38-CalcInputs!AE38</f>
        <v>572460201.27664</v>
      </c>
      <c r="V38" s="4" t="n">
        <f aca="false">D38-CalcInputs!AF38</f>
        <v>573849497.225684</v>
      </c>
      <c r="W38" s="4" t="n">
        <f aca="false">D38-CalcInputs!AG38</f>
        <v>575223352.197368</v>
      </c>
      <c r="X38" s="4" t="n">
        <f aca="false">D38-CalcInputs!AH38</f>
        <v>551696210.679991</v>
      </c>
      <c r="Y38" s="4" t="n">
        <f aca="false">D38-CalcInputs!AI38</f>
        <v>577922636.522899</v>
      </c>
      <c r="Z38" s="4" t="n">
        <f aca="false">D38-CalcInputs!AJ38</f>
        <v>579246985.510773</v>
      </c>
      <c r="AA38" s="4" t="n">
        <f aca="false">D38-CalcInputs!AK38</f>
        <v>580553732.313515</v>
      </c>
      <c r="AB38" s="4" t="n">
        <f aca="false">D38-CalcInputs!AL38</f>
        <v>581842306.646059</v>
      </c>
      <c r="AC38" s="4" t="n">
        <f aca="false">D38-CalcInputs!AM38</f>
        <v>1590815625.5192</v>
      </c>
      <c r="AD38" s="4" t="n">
        <f aca="false">D38</f>
        <v>2532237907.65931</v>
      </c>
      <c r="AE38" s="4" t="n">
        <f aca="false">D38</f>
        <v>2537570113.6341</v>
      </c>
      <c r="AF38" s="4" t="n">
        <f aca="false">D38</f>
        <v>2542813135.07254</v>
      </c>
      <c r="AG38" s="4" t="n">
        <f aca="false">D38</f>
        <v>2547964218.93205</v>
      </c>
      <c r="AH38" s="4" t="n">
        <f aca="false">D38</f>
        <v>2828615085.67076</v>
      </c>
    </row>
    <row r="39" customFormat="false" ht="13.8" hidden="false" customHeight="false" outlineLevel="0" collapsed="false">
      <c r="A39" s="0" t="str">
        <f aca="false">CalcInputs!A39</f>
        <v>NEGOTIATED_TERMS</v>
      </c>
      <c r="B39" s="0" t="str">
        <f aca="false">CalcInputs!B39</f>
        <v>VG-019</v>
      </c>
      <c r="C39" s="4" t="n">
        <f aca="false">-CalcInputs!C39</f>
        <v>-18633912500</v>
      </c>
      <c r="D39" s="4" t="n">
        <f aca="false">CalcInputs!O39</f>
        <v>2399439228.21833</v>
      </c>
      <c r="E39" s="4" t="n">
        <f aca="false">CalcInputs!P39</f>
        <v>2689909206.70719</v>
      </c>
      <c r="F39" s="4" t="n">
        <f aca="false">CalcInputs!Q39</f>
        <v>2697249953.18316</v>
      </c>
      <c r="G39" s="4" t="n">
        <f aca="false">CalcInputs!R39</f>
        <v>2704530325.0542</v>
      </c>
      <c r="H39" s="4" t="n">
        <f aca="false">CalcInputs!S39</f>
        <v>2625479975.81407</v>
      </c>
      <c r="I39" s="4" t="n">
        <f aca="false">CalcInputs!T39</f>
        <v>2718900962.92199</v>
      </c>
      <c r="J39" s="4" t="n">
        <f aca="false">CalcInputs!U39</f>
        <v>2725986612.52346</v>
      </c>
      <c r="K39" s="4" t="n">
        <f aca="false">CalcInputs!V39</f>
        <v>2733002652.66911</v>
      </c>
      <c r="L39" s="4" t="n">
        <f aca="false">CalcInputs!W39</f>
        <v>2739946645.12369</v>
      </c>
      <c r="M39" s="4" t="n">
        <f aca="false">CalcInputs!X39</f>
        <v>2660547984.28342</v>
      </c>
      <c r="N39" s="4" t="n">
        <f aca="false">CalcInputs!Y39</f>
        <v>2753608463.20108</v>
      </c>
      <c r="O39" s="4" t="n">
        <f aca="false">CalcInputs!Z39</f>
        <v>2760321138.20012</v>
      </c>
      <c r="P39" s="4" t="n">
        <f aca="false">CalcInputs!AA39</f>
        <v>2766951461.98446</v>
      </c>
      <c r="Q39" s="4" t="n">
        <f aca="false">CalcInputs!AB39</f>
        <v>2773496715.33649</v>
      </c>
      <c r="R39" s="4" t="n">
        <f aca="false">CalcInputs!AC39</f>
        <v>3084787316.52324</v>
      </c>
      <c r="S39" s="4" t="n">
        <f aca="false">-(CalcInputs!C39-CalcInputs!D39)</f>
        <v>-6521869375</v>
      </c>
      <c r="T39" s="4" t="n">
        <f aca="false">D39-CalcInputs!AD39</f>
        <v>553716744.973461</v>
      </c>
      <c r="U39" s="4" t="n">
        <f aca="false">D39-CalcInputs!AE39</f>
        <v>620748278.470889</v>
      </c>
      <c r="V39" s="4" t="n">
        <f aca="false">D39-CalcInputs!AF39</f>
        <v>622442296.888423</v>
      </c>
      <c r="W39" s="4" t="n">
        <f aca="false">D39-CalcInputs!AG39</f>
        <v>624122382.704815</v>
      </c>
      <c r="X39" s="4" t="n">
        <f aca="false">D39-CalcInputs!AH39</f>
        <v>605879994.418632</v>
      </c>
      <c r="Y39" s="4" t="n">
        <f aca="false">D39-CalcInputs!AI39</f>
        <v>627438683.751229</v>
      </c>
      <c r="Z39" s="4" t="n">
        <f aca="false">D39-CalcInputs!AJ39</f>
        <v>629073833.659261</v>
      </c>
      <c r="AA39" s="4" t="n">
        <f aca="false">D39-CalcInputs!AK39</f>
        <v>630692919.846717</v>
      </c>
      <c r="AB39" s="4" t="n">
        <f aca="false">D39-CalcInputs!AL39</f>
        <v>1440835276.89858</v>
      </c>
      <c r="AC39" s="4" t="n">
        <f aca="false">D39-CalcInputs!AM39</f>
        <v>2660547984.28342</v>
      </c>
      <c r="AD39" s="4" t="n">
        <f aca="false">D39</f>
        <v>2753608463.20108</v>
      </c>
      <c r="AE39" s="4" t="n">
        <f aca="false">D39</f>
        <v>2760321138.20012</v>
      </c>
      <c r="AF39" s="4" t="n">
        <f aca="false">D39</f>
        <v>2766951461.98446</v>
      </c>
      <c r="AG39" s="4" t="n">
        <f aca="false">D39</f>
        <v>2773496715.33649</v>
      </c>
      <c r="AH39" s="4" t="n">
        <f aca="false">D39</f>
        <v>3084787316.52324</v>
      </c>
    </row>
    <row r="40" customFormat="false" ht="13.8" hidden="false" customHeight="false" outlineLevel="0" collapsed="false">
      <c r="A40" s="0" t="str">
        <f aca="false">CalcInputs!A40</f>
        <v>CURRENT_TERMS</v>
      </c>
      <c r="B40" s="0" t="str">
        <f aca="false">CalcInputs!B40</f>
        <v>VG-020</v>
      </c>
      <c r="C40" s="4" t="n">
        <f aca="false">-CalcInputs!C40</f>
        <v>-23292390625</v>
      </c>
      <c r="D40" s="4" t="n">
        <f aca="false">CalcInputs!O40</f>
        <v>2237663231.89464</v>
      </c>
      <c r="E40" s="4" t="n">
        <f aca="false">CalcInputs!P40</f>
        <v>2501938413.21277</v>
      </c>
      <c r="F40" s="4" t="n">
        <f aca="false">CalcInputs!Q40</f>
        <v>2508064019.48665</v>
      </c>
      <c r="G40" s="4" t="n">
        <f aca="false">CalcInputs!R40</f>
        <v>2514123236.21158</v>
      </c>
      <c r="H40" s="4" t="n">
        <f aca="false">CalcInputs!S40</f>
        <v>2412278658.75089</v>
      </c>
      <c r="I40" s="4" t="n">
        <f aca="false">CalcInputs!T40</f>
        <v>2526033399.71189</v>
      </c>
      <c r="J40" s="4" t="n">
        <f aca="false">CalcInputs!U40</f>
        <v>2531879670.10116</v>
      </c>
      <c r="K40" s="4" t="n">
        <f aca="false">CalcInputs!V40</f>
        <v>2537650196.10751</v>
      </c>
      <c r="L40" s="4" t="n">
        <f aca="false">CalcInputs!W40</f>
        <v>2543342509.12781</v>
      </c>
      <c r="M40" s="4" t="n">
        <f aca="false">CalcInputs!X40</f>
        <v>2441118944.68357</v>
      </c>
      <c r="N40" s="4" t="n">
        <f aca="false">CalcInputs!Y40</f>
        <v>2554482350.22776</v>
      </c>
      <c r="O40" s="4" t="n">
        <f aca="false">CalcInputs!Z40</f>
        <v>2559924666.19327</v>
      </c>
      <c r="P40" s="4" t="n">
        <f aca="false">CalcInputs!AA40</f>
        <v>2565278342.66687</v>
      </c>
      <c r="Q40" s="4" t="n">
        <f aca="false">CalcInputs!AB40</f>
        <v>2570540629.30398</v>
      </c>
      <c r="R40" s="4" t="n">
        <f aca="false">CalcInputs!AC40</f>
        <v>2853635405.18973</v>
      </c>
      <c r="S40" s="4" t="n">
        <f aca="false">-(CalcInputs!C40-CalcInputs!D40)</f>
        <v>-11314817032.7267</v>
      </c>
      <c r="T40" s="4" t="n">
        <f aca="false">D40-CalcInputs!AD40</f>
        <v>516383822.744917</v>
      </c>
      <c r="U40" s="4" t="n">
        <f aca="false">D40-CalcInputs!AE40</f>
        <v>577370403.049101</v>
      </c>
      <c r="V40" s="4" t="n">
        <f aca="false">D40-CalcInputs!AF40</f>
        <v>578784004.496918</v>
      </c>
      <c r="W40" s="4" t="n">
        <f aca="false">D40-CalcInputs!AG40</f>
        <v>580182285.279595</v>
      </c>
      <c r="X40" s="4" t="n">
        <f aca="false">D40-CalcInputs!AH40</f>
        <v>556679690.480974</v>
      </c>
      <c r="Y40" s="4" t="n">
        <f aca="false">D40-CalcInputs!AI40</f>
        <v>582930784.548897</v>
      </c>
      <c r="Z40" s="4" t="n">
        <f aca="false">D40-CalcInputs!AJ40</f>
        <v>584279923.869499</v>
      </c>
      <c r="AA40" s="4" t="n">
        <f aca="false">D40-CalcInputs!AK40</f>
        <v>585611583.717118</v>
      </c>
      <c r="AB40" s="4" t="n">
        <f aca="false">D40-CalcInputs!AL40</f>
        <v>586925194.41411</v>
      </c>
      <c r="AC40" s="4" t="n">
        <f aca="false">D40-CalcInputs!AM40</f>
        <v>1604915739.79149</v>
      </c>
      <c r="AD40" s="4" t="n">
        <f aca="false">D40</f>
        <v>2554482350.22776</v>
      </c>
      <c r="AE40" s="4" t="n">
        <f aca="false">D40</f>
        <v>2559924666.19327</v>
      </c>
      <c r="AF40" s="4" t="n">
        <f aca="false">D40</f>
        <v>2565278342.66687</v>
      </c>
      <c r="AG40" s="4" t="n">
        <f aca="false">D40</f>
        <v>2570540629.30398</v>
      </c>
      <c r="AH40" s="4" t="n">
        <f aca="false">D40</f>
        <v>2853635405.18973</v>
      </c>
    </row>
    <row r="41" customFormat="false" ht="13.8" hidden="false" customHeight="false" outlineLevel="0" collapsed="false">
      <c r="A41" s="0" t="str">
        <f aca="false">CalcInputs!A41</f>
        <v>NEGOTIATED_TERMS</v>
      </c>
      <c r="B41" s="0" t="str">
        <f aca="false">CalcInputs!B41</f>
        <v>VG-020</v>
      </c>
      <c r="C41" s="4" t="n">
        <f aca="false">-CalcInputs!C41</f>
        <v>-18633912500</v>
      </c>
      <c r="D41" s="4" t="n">
        <f aca="false">CalcInputs!O41</f>
        <v>2532768515.88956</v>
      </c>
      <c r="E41" s="4" t="n">
        <f aca="false">CalcInputs!P41</f>
        <v>2839165186.68115</v>
      </c>
      <c r="F41" s="4" t="n">
        <f aca="false">CalcInputs!Q41</f>
        <v>2847244750.25801</v>
      </c>
      <c r="G41" s="4" t="n">
        <f aca="false">CalcInputs!R41</f>
        <v>2855267596.37456</v>
      </c>
      <c r="H41" s="4" t="n">
        <f aca="false">CalcInputs!S41</f>
        <v>2776963396.62747</v>
      </c>
      <c r="I41" s="4" t="n">
        <f aca="false">CalcInputs!T41</f>
        <v>2871134226.66841</v>
      </c>
      <c r="J41" s="4" t="n">
        <f aca="false">CalcInputs!U41</f>
        <v>2878973430.92543</v>
      </c>
      <c r="K41" s="4" t="n">
        <f aca="false">CalcInputs!V41</f>
        <v>2886746755.82216</v>
      </c>
      <c r="L41" s="4" t="n">
        <f aca="false">CalcInputs!W41</f>
        <v>2894451781.58735</v>
      </c>
      <c r="M41" s="4" t="n">
        <f aca="false">CalcInputs!X41</f>
        <v>2815817921.17257</v>
      </c>
      <c r="N41" s="4" t="n">
        <f aca="false">CalcInputs!Y41</f>
        <v>2909646986.27784</v>
      </c>
      <c r="O41" s="4" t="n">
        <f aca="false">CalcInputs!Z41</f>
        <v>2917132051.96611</v>
      </c>
      <c r="P41" s="4" t="n">
        <f aca="false">CalcInputs!AA41</f>
        <v>2924538589.7736</v>
      </c>
      <c r="Q41" s="4" t="n">
        <f aca="false">CalcInputs!AB41</f>
        <v>2931863899.40818</v>
      </c>
      <c r="R41" s="4" t="n">
        <f aca="false">CalcInputs!AC41</f>
        <v>3260297837.52798</v>
      </c>
      <c r="S41" s="4" t="n">
        <f aca="false">-(CalcInputs!C41-CalcInputs!D41)</f>
        <v>-6521869375</v>
      </c>
      <c r="T41" s="4" t="n">
        <f aca="false">D41-CalcInputs!AD41</f>
        <v>584485042.12836</v>
      </c>
      <c r="U41" s="4" t="n">
        <f aca="false">D41-CalcInputs!AE41</f>
        <v>655191966.15719</v>
      </c>
      <c r="V41" s="4" t="n">
        <f aca="false">D41-CalcInputs!AF41</f>
        <v>657056480.828771</v>
      </c>
      <c r="W41" s="4" t="n">
        <f aca="false">D41-CalcInputs!AG41</f>
        <v>658907906.855668</v>
      </c>
      <c r="X41" s="4" t="n">
        <f aca="false">D41-CalcInputs!AH41</f>
        <v>640837706.914031</v>
      </c>
      <c r="Y41" s="4" t="n">
        <f aca="false">D41-CalcInputs!AI41</f>
        <v>662569436.92348</v>
      </c>
      <c r="Z41" s="4" t="n">
        <f aca="false">D41-CalcInputs!AJ41</f>
        <v>664378484.059715</v>
      </c>
      <c r="AA41" s="4" t="n">
        <f aca="false">D41-CalcInputs!AK41</f>
        <v>704523166.966748</v>
      </c>
      <c r="AB41" s="4" t="n">
        <f aca="false">D41-CalcInputs!AL41</f>
        <v>2894451781.58735</v>
      </c>
      <c r="AC41" s="4" t="n">
        <f aca="false">D41-CalcInputs!AM41</f>
        <v>2815817921.17257</v>
      </c>
      <c r="AD41" s="4" t="n">
        <f aca="false">D41</f>
        <v>2909646986.27784</v>
      </c>
      <c r="AE41" s="4" t="n">
        <f aca="false">D41</f>
        <v>2917132051.96611</v>
      </c>
      <c r="AF41" s="4" t="n">
        <f aca="false">D41</f>
        <v>2924538589.7736</v>
      </c>
      <c r="AG41" s="4" t="n">
        <f aca="false">D41</f>
        <v>2931863899.40818</v>
      </c>
      <c r="AH41" s="4" t="n">
        <f aca="false">D41</f>
        <v>3260297837.52798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3.8" hidden="false" customHeight="false" outlineLevel="0" collapsed="false">
      <c r="A1" s="2" t="s">
        <v>23</v>
      </c>
      <c r="B1" s="2" t="s">
        <v>24</v>
      </c>
      <c r="C1" s="2" t="s">
        <v>94</v>
      </c>
      <c r="D1" s="2" t="s">
        <v>30</v>
      </c>
      <c r="E1" s="2" t="s">
        <v>29</v>
      </c>
      <c r="F1" s="2" t="s">
        <v>95</v>
      </c>
      <c r="G1" s="2" t="s">
        <v>96</v>
      </c>
      <c r="H1" s="2" t="s">
        <v>37</v>
      </c>
      <c r="I1" s="2" t="s">
        <v>97</v>
      </c>
      <c r="J1" s="2" t="s">
        <v>98</v>
      </c>
      <c r="K1" s="2" t="s">
        <v>99</v>
      </c>
      <c r="L1" s="2" t="s">
        <v>100</v>
      </c>
      <c r="M1" s="2" t="s">
        <v>101</v>
      </c>
      <c r="N1" s="2" t="s">
        <v>102</v>
      </c>
      <c r="O1" s="2" t="s">
        <v>103</v>
      </c>
      <c r="P1" s="2" t="s">
        <v>104</v>
      </c>
      <c r="Q1" s="2" t="s">
        <v>105</v>
      </c>
    </row>
    <row r="2" customFormat="false" ht="13.8" hidden="false" customHeight="false" outlineLevel="0" collapsed="false">
      <c r="A2" s="0" t="str">
        <f aca="false">CalcInputs!A2</f>
        <v>CURRENT_TERMS</v>
      </c>
      <c r="B2" s="0" t="str">
        <f aca="false">CalcInputs!B2</f>
        <v>VG-001</v>
      </c>
      <c r="C2" s="4" t="n">
        <f aca="false">CalcInputs!E2*CalcInputs!F2</f>
        <v>1848000</v>
      </c>
      <c r="D2" s="4" t="n">
        <f aca="false">CalcInputs!H2</f>
        <v>1848000</v>
      </c>
      <c r="E2" s="4" t="n">
        <f aca="false">CalcInputs!G2</f>
        <v>2080.75</v>
      </c>
      <c r="F2" s="4" t="n">
        <f aca="false">D2*E2</f>
        <v>3845226000</v>
      </c>
      <c r="G2" s="4" t="n">
        <f aca="false">CalcInputs!I2</f>
        <v>525000000</v>
      </c>
      <c r="H2" s="4" t="n">
        <f aca="false">F2-G2-CalcInputs!J2</f>
        <v>2723548664.84582</v>
      </c>
      <c r="I2" s="4" t="n">
        <f aca="false">CalcInputs!C2</f>
        <v>31056520833.3333</v>
      </c>
      <c r="J2" s="4" t="n">
        <f aca="false">CalcInputs!D2</f>
        <v>14555616154.9624</v>
      </c>
      <c r="K2" s="4" t="n">
        <f aca="false">I2-J2</f>
        <v>16500904678.3709</v>
      </c>
      <c r="L2" s="4" t="n">
        <f aca="false">-I2+NPV(Assumptions!$B$2,CashFlows!D2:R2)</f>
        <v>-10492753849.6861</v>
      </c>
      <c r="M2" s="3" t="n">
        <f aca="false">IRR(CashFlows!C2:R2)</f>
        <v>0.0525380673648334</v>
      </c>
      <c r="N2" s="4" t="n">
        <f aca="false">-K2+NPV(Assumptions!$B$3,CashFlows!T2:AH2)</f>
        <v>-9636155271.19315</v>
      </c>
      <c r="O2" s="3" t="n">
        <f aca="false">IRR(CashFlows!S2:AH2)</f>
        <v>0.03697935968666</v>
      </c>
      <c r="P2" s="0" t="str">
        <f aca="false">CalcInputs!P2</f>
        <v>EMPTY_ZONE</v>
      </c>
      <c r="Q2" s="0" t="str">
        <f aca="false">IF(AND(N2&gt;0,J2&gt;=0),"PASS","CHECK")</f>
        <v>CHECK</v>
      </c>
    </row>
    <row r="3" customFormat="false" ht="13.8" hidden="false" customHeight="false" outlineLevel="0" collapsed="false">
      <c r="A3" s="0" t="str">
        <f aca="false">CalcInputs!A3</f>
        <v>NEGOTIATED_TERMS</v>
      </c>
      <c r="B3" s="0" t="str">
        <f aca="false">CalcInputs!B3</f>
        <v>VG-001</v>
      </c>
      <c r="C3" s="4" t="n">
        <f aca="false">CalcInputs!E3*CalcInputs!F3</f>
        <v>1848000</v>
      </c>
      <c r="D3" s="4" t="n">
        <f aca="false">CalcInputs!H3</f>
        <v>1848000</v>
      </c>
      <c r="E3" s="4" t="n">
        <f aca="false">CalcInputs!G3</f>
        <v>2511.67096785316</v>
      </c>
      <c r="F3" s="4" t="n">
        <f aca="false">D3*E3</f>
        <v>4641567948.59265</v>
      </c>
      <c r="G3" s="4" t="n">
        <f aca="false">CalcInputs!I3</f>
        <v>525000000</v>
      </c>
      <c r="H3" s="4" t="n">
        <f aca="false">F3-G3-CalcInputs!J3</f>
        <v>3218486693.3322</v>
      </c>
      <c r="I3" s="4" t="n">
        <f aca="false">CalcInputs!C3</f>
        <v>24845216666.6667</v>
      </c>
      <c r="J3" s="4" t="n">
        <f aca="false">CalcInputs!D3</f>
        <v>16149390833.3333</v>
      </c>
      <c r="K3" s="4" t="n">
        <f aca="false">I3-J3</f>
        <v>8695825833.33333</v>
      </c>
      <c r="L3" s="4" t="n">
        <f aca="false">-I3+NPV(Assumptions!$B$2,CashFlows!D3:R3)</f>
        <v>-377806892.089751</v>
      </c>
      <c r="M3" s="3" t="n">
        <f aca="false">IRR(CashFlows!C3:R3)</f>
        <v>0.117206900535216</v>
      </c>
      <c r="N3" s="4" t="n">
        <f aca="false">-K3+NPV(Assumptions!$B$3,CashFlows!T3:AH3)</f>
        <v>207605829.756783</v>
      </c>
      <c r="O3" s="3" t="n">
        <f aca="false">IRR(CashFlows!S3:AH3)</f>
        <v>0.143210684067796</v>
      </c>
      <c r="P3" s="0" t="str">
        <f aca="false">CalcInputs!P3</f>
        <v>FEASIBLE_ZONE</v>
      </c>
      <c r="Q3" s="0" t="str">
        <f aca="false">IF(AND(N3&gt;0,J3&gt;=0),"PASS","CHECK")</f>
        <v>PASS</v>
      </c>
    </row>
    <row r="4" customFormat="false" ht="13.8" hidden="false" customHeight="false" outlineLevel="0" collapsed="false">
      <c r="A4" s="0" t="str">
        <f aca="false">CalcInputs!A4</f>
        <v>CURRENT_TERMS</v>
      </c>
      <c r="B4" s="0" t="str">
        <f aca="false">CalcInputs!B4</f>
        <v>VG-002</v>
      </c>
      <c r="C4" s="4" t="n">
        <f aca="false">CalcInputs!E4*CalcInputs!F4</f>
        <v>1980000</v>
      </c>
      <c r="D4" s="4" t="n">
        <f aca="false">CalcInputs!H4</f>
        <v>1980000</v>
      </c>
      <c r="E4" s="4" t="n">
        <f aca="false">CalcInputs!G4</f>
        <v>2163.98</v>
      </c>
      <c r="F4" s="4" t="n">
        <f aca="false">D4*E4</f>
        <v>4284680400</v>
      </c>
      <c r="G4" s="4" t="n">
        <f aca="false">CalcInputs!I4</f>
        <v>562500000</v>
      </c>
      <c r="H4" s="4" t="n">
        <f aca="false">F4-G4-CalcInputs!J4</f>
        <v>3036379347.79469</v>
      </c>
      <c r="I4" s="4" t="n">
        <f aca="false">CalcInputs!C4</f>
        <v>33274843750</v>
      </c>
      <c r="J4" s="4" t="n">
        <f aca="false">CalcInputs!D4</f>
        <v>16238840315.6317</v>
      </c>
      <c r="K4" s="4" t="n">
        <f aca="false">I4-J4</f>
        <v>17036003434.3683</v>
      </c>
      <c r="L4" s="4" t="n">
        <f aca="false">-I4+NPV(Assumptions!$B$2,CashFlows!D4:R4)</f>
        <v>-10331627070.5281</v>
      </c>
      <c r="M4" s="3" t="n">
        <f aca="false">IRR(CashFlows!C4:R4)</f>
        <v>0.0585453060698432</v>
      </c>
      <c r="N4" s="4" t="n">
        <f aca="false">-K4+NPV(Assumptions!$B$3,CashFlows!T4:AH4)</f>
        <v>-9375849868.06461</v>
      </c>
      <c r="O4" s="3" t="n">
        <f aca="false">IRR(CashFlows!S4:AH4)</f>
        <v>0.0450239069913473</v>
      </c>
      <c r="P4" s="0" t="str">
        <f aca="false">CalcInputs!P4</f>
        <v>EMPTY_ZONE</v>
      </c>
      <c r="Q4" s="0" t="str">
        <f aca="false">IF(AND(N4&gt;0,J4&gt;=0),"PASS","CHECK")</f>
        <v>CHECK</v>
      </c>
    </row>
    <row r="5" customFormat="false" ht="13.8" hidden="false" customHeight="false" outlineLevel="0" collapsed="false">
      <c r="A5" s="0" t="str">
        <f aca="false">CalcInputs!A5</f>
        <v>NEGOTIATED_TERMS</v>
      </c>
      <c r="B5" s="0" t="str">
        <f aca="false">CalcInputs!B5</f>
        <v>VG-002</v>
      </c>
      <c r="C5" s="4" t="n">
        <f aca="false">CalcInputs!E5*CalcInputs!F5</f>
        <v>1980000</v>
      </c>
      <c r="D5" s="4" t="n">
        <f aca="false">CalcInputs!H5</f>
        <v>1980000</v>
      </c>
      <c r="E5" s="4" t="n">
        <f aca="false">CalcInputs!G5</f>
        <v>2562.42096785317</v>
      </c>
      <c r="F5" s="4" t="n">
        <f aca="false">D5*E5</f>
        <v>5073593516.34927</v>
      </c>
      <c r="G5" s="4" t="n">
        <f aca="false">CalcInputs!I5</f>
        <v>562500000</v>
      </c>
      <c r="H5" s="4" t="n">
        <f aca="false">F5-G5-CalcInputs!J5</f>
        <v>3520507558.9029</v>
      </c>
      <c r="I5" s="4" t="n">
        <f aca="false">CalcInputs!C5</f>
        <v>26619875000</v>
      </c>
      <c r="J5" s="4" t="n">
        <f aca="false">CalcInputs!D5</f>
        <v>17302918750</v>
      </c>
      <c r="K5" s="4" t="n">
        <f aca="false">I5-J5</f>
        <v>9316956250</v>
      </c>
      <c r="L5" s="4" t="n">
        <f aca="false">-I5+NPV(Assumptions!$B$2,CashFlows!D5:R5)</f>
        <v>150456411.693845</v>
      </c>
      <c r="M5" s="3" t="n">
        <f aca="false">IRR(CashFlows!C5:R5)</f>
        <v>0.121033711842364</v>
      </c>
      <c r="N5" s="4" t="n">
        <f aca="false">-K5+NPV(Assumptions!$B$3,CashFlows!T5:AH5)</f>
        <v>659484372.099978</v>
      </c>
      <c r="O5" s="3" t="n">
        <f aca="false">IRR(CashFlows!S5:AH5)</f>
        <v>0.149371942794462</v>
      </c>
      <c r="P5" s="0" t="str">
        <f aca="false">CalcInputs!P5</f>
        <v>FEASIBLE_ZONE</v>
      </c>
      <c r="Q5" s="0" t="str">
        <f aca="false">IF(AND(N5&gt;0,J5&gt;=0),"PASS","CHECK")</f>
        <v>PASS</v>
      </c>
    </row>
    <row r="6" customFormat="false" ht="13.8" hidden="false" customHeight="false" outlineLevel="0" collapsed="false">
      <c r="A6" s="0" t="str">
        <f aca="false">CalcInputs!A6</f>
        <v>CURRENT_TERMS</v>
      </c>
      <c r="B6" s="0" t="str">
        <f aca="false">CalcInputs!B6</f>
        <v>VG-003</v>
      </c>
      <c r="C6" s="4" t="n">
        <f aca="false">CalcInputs!E6*CalcInputs!F6</f>
        <v>1452000</v>
      </c>
      <c r="D6" s="4" t="n">
        <f aca="false">CalcInputs!H6</f>
        <v>1452000</v>
      </c>
      <c r="E6" s="4" t="n">
        <f aca="false">CalcInputs!G6</f>
        <v>2116.42</v>
      </c>
      <c r="F6" s="4" t="n">
        <f aca="false">D6*E6</f>
        <v>3073041840</v>
      </c>
      <c r="G6" s="4" t="n">
        <f aca="false">CalcInputs!I6</f>
        <v>412500000</v>
      </c>
      <c r="H6" s="4" t="n">
        <f aca="false">F6-G6-CalcInputs!J6</f>
        <v>2177108420.054</v>
      </c>
      <c r="I6" s="4" t="n">
        <f aca="false">CalcInputs!C6</f>
        <v>24401552083.3333</v>
      </c>
      <c r="J6" s="4" t="n">
        <f aca="false">CalcInputs!D6</f>
        <v>11638810127.9572</v>
      </c>
      <c r="K6" s="4" t="n">
        <f aca="false">I6-J6</f>
        <v>12762741955.3761</v>
      </c>
      <c r="L6" s="4" t="n">
        <f aca="false">-I6+NPV(Assumptions!$B$2,CashFlows!D6:R6)</f>
        <v>-7958115134.26993</v>
      </c>
      <c r="M6" s="3" t="n">
        <f aca="false">IRR(CashFlows!C6:R6)</f>
        <v>0.0551280513694691</v>
      </c>
      <c r="N6" s="4" t="n">
        <f aca="false">-K6+NPV(Assumptions!$B$3,CashFlows!T6:AH6)</f>
        <v>-7273132733.35601</v>
      </c>
      <c r="O6" s="3" t="n">
        <f aca="false">IRR(CashFlows!S6:AH6)</f>
        <v>0.0404104071272499</v>
      </c>
      <c r="P6" s="0" t="str">
        <f aca="false">CalcInputs!P6</f>
        <v>EMPTY_ZONE</v>
      </c>
      <c r="Q6" s="0" t="str">
        <f aca="false">IF(AND(N6&gt;0,J6&gt;=0),"PASS","CHECK")</f>
        <v>CHECK</v>
      </c>
    </row>
    <row r="7" customFormat="false" ht="13.8" hidden="false" customHeight="false" outlineLevel="0" collapsed="false">
      <c r="A7" s="0" t="str">
        <f aca="false">CalcInputs!A7</f>
        <v>NEGOTIATED_TERMS</v>
      </c>
      <c r="B7" s="0" t="str">
        <f aca="false">CalcInputs!B7</f>
        <v>VG-003</v>
      </c>
      <c r="C7" s="4" t="n">
        <f aca="false">CalcInputs!E7*CalcInputs!F7</f>
        <v>1452000</v>
      </c>
      <c r="D7" s="4" t="n">
        <f aca="false">CalcInputs!H7</f>
        <v>1452000</v>
      </c>
      <c r="E7" s="4" t="n">
        <f aca="false">CalcInputs!G7</f>
        <v>2533.42096785317</v>
      </c>
      <c r="F7" s="4" t="n">
        <f aca="false">D7*E7</f>
        <v>3678527245.3228</v>
      </c>
      <c r="G7" s="4" t="n">
        <f aca="false">CalcInputs!I7</f>
        <v>412500000</v>
      </c>
      <c r="H7" s="4" t="n">
        <f aca="false">F7-G7-CalcInputs!J7</f>
        <v>2551480074.70231</v>
      </c>
      <c r="I7" s="4" t="n">
        <f aca="false">CalcInputs!C7</f>
        <v>19521241666.6667</v>
      </c>
      <c r="J7" s="4" t="n">
        <f aca="false">CalcInputs!D7</f>
        <v>12688807083.3333</v>
      </c>
      <c r="K7" s="4" t="n">
        <f aca="false">I7-J7</f>
        <v>6832434583.33333</v>
      </c>
      <c r="L7" s="4" t="n">
        <f aca="false">-I7+NPV(Assumptions!$B$2,CashFlows!D7:R7)</f>
        <v>-122341283.385478</v>
      </c>
      <c r="M7" s="3" t="n">
        <f aca="false">IRR(CashFlows!C7:R7)</f>
        <v>0.118851000129889</v>
      </c>
      <c r="N7" s="4" t="n">
        <f aca="false">-K7+NPV(Assumptions!$B$3,CashFlows!T7:AH7)</f>
        <v>300477297.652848</v>
      </c>
      <c r="O7" s="3" t="n">
        <f aca="false">IRR(CashFlows!S7:AH7)</f>
        <v>0.145874621774875</v>
      </c>
      <c r="P7" s="0" t="str">
        <f aca="false">CalcInputs!P7</f>
        <v>FEASIBLE_ZONE</v>
      </c>
      <c r="Q7" s="0" t="str">
        <f aca="false">IF(AND(N7&gt;0,J7&gt;=0),"PASS","CHECK")</f>
        <v>PASS</v>
      </c>
    </row>
    <row r="8" customFormat="false" ht="13.8" hidden="false" customHeight="false" outlineLevel="0" collapsed="false">
      <c r="A8" s="0" t="str">
        <f aca="false">CalcInputs!A8</f>
        <v>CURRENT_TERMS</v>
      </c>
      <c r="B8" s="0" t="str">
        <f aca="false">CalcInputs!B8</f>
        <v>VG-004</v>
      </c>
      <c r="C8" s="4" t="n">
        <f aca="false">CalcInputs!E8*CalcInputs!F8</f>
        <v>1914000</v>
      </c>
      <c r="D8" s="4" t="n">
        <f aca="false">CalcInputs!H8</f>
        <v>1914000</v>
      </c>
      <c r="E8" s="4" t="n">
        <f aca="false">CalcInputs!G8</f>
        <v>2192.4</v>
      </c>
      <c r="F8" s="4" t="n">
        <f aca="false">D8*E8</f>
        <v>4196253600</v>
      </c>
      <c r="G8" s="4" t="n">
        <f aca="false">CalcInputs!I8</f>
        <v>543750000</v>
      </c>
      <c r="H8" s="4" t="n">
        <f aca="false">F8-G8-CalcInputs!J8</f>
        <v>2974212512.62163</v>
      </c>
      <c r="I8" s="4" t="n">
        <f aca="false">CalcInputs!C8</f>
        <v>32165682291.6667</v>
      </c>
      <c r="J8" s="4" t="n">
        <f aca="false">CalcInputs!D8</f>
        <v>15909965265.0601</v>
      </c>
      <c r="K8" s="4" t="n">
        <f aca="false">I8-J8</f>
        <v>16255717026.6065</v>
      </c>
      <c r="L8" s="4" t="n">
        <f aca="false">-I8+NPV(Assumptions!$B$2,CashFlows!D8:R8)</f>
        <v>-9686664433.23482</v>
      </c>
      <c r="M8" s="3" t="n">
        <f aca="false">IRR(CashFlows!C8:R8)</f>
        <v>0.0605683555073272</v>
      </c>
      <c r="N8" s="4" t="n">
        <f aca="false">-K8+NPV(Assumptions!$B$3,CashFlows!T8:AH8)</f>
        <v>-8750205688.28782</v>
      </c>
      <c r="O8" s="3" t="n">
        <f aca="false">IRR(CashFlows!S8:AH8)</f>
        <v>0.047804201188386</v>
      </c>
      <c r="P8" s="0" t="str">
        <f aca="false">CalcInputs!P8</f>
        <v>EMPTY_ZONE</v>
      </c>
      <c r="Q8" s="0" t="str">
        <f aca="false">IF(AND(N8&gt;0,J8&gt;=0),"PASS","CHECK")</f>
        <v>CHECK</v>
      </c>
    </row>
    <row r="9" customFormat="false" ht="13.8" hidden="false" customHeight="false" outlineLevel="0" collapsed="false">
      <c r="A9" s="0" t="str">
        <f aca="false">CalcInputs!A9</f>
        <v>NEGOTIATED_TERMS</v>
      </c>
      <c r="B9" s="0" t="str">
        <f aca="false">CalcInputs!B9</f>
        <v>VG-004</v>
      </c>
      <c r="C9" s="4" t="n">
        <f aca="false">CalcInputs!E9*CalcInputs!F9</f>
        <v>1914000</v>
      </c>
      <c r="D9" s="4" t="n">
        <f aca="false">CalcInputs!H9</f>
        <v>1914000</v>
      </c>
      <c r="E9" s="4" t="n">
        <f aca="false">CalcInputs!G9</f>
        <v>2436</v>
      </c>
      <c r="F9" s="4" t="n">
        <f aca="false">D9*E9</f>
        <v>4662503999.99999</v>
      </c>
      <c r="G9" s="4" t="n">
        <f aca="false">CalcInputs!I9</f>
        <v>543750000</v>
      </c>
      <c r="H9" s="4" t="n">
        <f aca="false">F9-G9-CalcInputs!J9</f>
        <v>3229469444.17949</v>
      </c>
      <c r="I9" s="4" t="n">
        <f aca="false">CalcInputs!C9</f>
        <v>25732545833.3333</v>
      </c>
      <c r="J9" s="4" t="n">
        <f aca="false">CalcInputs!D9</f>
        <v>16726154791.6667</v>
      </c>
      <c r="K9" s="4" t="n">
        <f aca="false">I9-J9</f>
        <v>9006391041.66667</v>
      </c>
      <c r="L9" s="4" t="n">
        <f aca="false">-I9+NPV(Assumptions!$B$2,CashFlows!D9:R9)</f>
        <v>-1191609859.17005</v>
      </c>
      <c r="M9" s="3" t="n">
        <f aca="false">IRR(CashFlows!C9:R9)</f>
        <v>0.111437869314426</v>
      </c>
      <c r="N9" s="4" t="n">
        <f aca="false">-K9+NPV(Assumptions!$B$3,CashFlows!T9:AH9)</f>
        <v>-414921824.686566</v>
      </c>
      <c r="O9" s="3" t="n">
        <f aca="false">IRR(CashFlows!S9:AH9)</f>
        <v>0.133653253831931</v>
      </c>
      <c r="P9" s="0" t="str">
        <f aca="false">CalcInputs!P9</f>
        <v>EMPTY_ZONE</v>
      </c>
      <c r="Q9" s="0" t="str">
        <f aca="false">IF(AND(N9&gt;0,J9&gt;=0),"PASS","CHECK")</f>
        <v>CHECK</v>
      </c>
    </row>
    <row r="10" customFormat="false" ht="13.8" hidden="false" customHeight="false" outlineLevel="0" collapsed="false">
      <c r="A10" s="0" t="str">
        <f aca="false">CalcInputs!A10</f>
        <v>CURRENT_TERMS</v>
      </c>
      <c r="B10" s="0" t="str">
        <f aca="false">CalcInputs!B10</f>
        <v>VG-005</v>
      </c>
      <c r="C10" s="4" t="n">
        <f aca="false">CalcInputs!E10*CalcInputs!F10</f>
        <v>1776000</v>
      </c>
      <c r="D10" s="4" t="n">
        <f aca="false">CalcInputs!H10</f>
        <v>1775698.11456187</v>
      </c>
      <c r="E10" s="4" t="n">
        <f aca="false">CalcInputs!G10</f>
        <v>2235.32</v>
      </c>
      <c r="F10" s="4" t="n">
        <f aca="false">D10*E10</f>
        <v>3969253509.44245</v>
      </c>
      <c r="G10" s="4" t="n">
        <f aca="false">CalcInputs!I10</f>
        <v>450000000</v>
      </c>
      <c r="H10" s="4" t="n">
        <f aca="false">F10-G10-CalcInputs!J10</f>
        <v>2817803225.178</v>
      </c>
      <c r="I10" s="4" t="n">
        <f aca="false">CalcInputs!C10</f>
        <v>26619875000</v>
      </c>
      <c r="J10" s="4" t="n">
        <f aca="false">CalcInputs!D10</f>
        <v>15105702622.132</v>
      </c>
      <c r="K10" s="4" t="n">
        <f aca="false">I10-J10</f>
        <v>11514172377.868</v>
      </c>
      <c r="L10" s="4" t="n">
        <f aca="false">-I10+NPV(Assumptions!$B$2,CashFlows!D10:R10)</f>
        <v>-5273086775.65284</v>
      </c>
      <c r="M10" s="3" t="n">
        <f aca="false">IRR(CashFlows!C10:R10)</f>
        <v>0.0820445050496704</v>
      </c>
      <c r="N10" s="4" t="n">
        <f aca="false">-K10+NPV(Assumptions!$B$3,CashFlows!T10:AH10)</f>
        <v>-4383621937.29295</v>
      </c>
      <c r="O10" s="3" t="n">
        <f aca="false">IRR(CashFlows!S10:AH10)</f>
        <v>0.0800752995314819</v>
      </c>
      <c r="P10" s="0" t="str">
        <f aca="false">CalcInputs!P10</f>
        <v>FEASIBLE_ZONE</v>
      </c>
      <c r="Q10" s="0" t="str">
        <f aca="false">IF(AND(N10&gt;0,J10&gt;=0),"PASS","CHECK")</f>
        <v>CHECK</v>
      </c>
    </row>
    <row r="11" customFormat="false" ht="13.8" hidden="false" customHeight="false" outlineLevel="0" collapsed="false">
      <c r="A11" s="0" t="str">
        <f aca="false">CalcInputs!A11</f>
        <v>NEGOTIATED_TERMS</v>
      </c>
      <c r="B11" s="0" t="str">
        <f aca="false">CalcInputs!B11</f>
        <v>VG-005</v>
      </c>
      <c r="C11" s="4" t="n">
        <f aca="false">CalcInputs!E11*CalcInputs!F11</f>
        <v>1776000</v>
      </c>
      <c r="D11" s="4" t="n">
        <f aca="false">CalcInputs!H11</f>
        <v>1775698.11456187</v>
      </c>
      <c r="E11" s="4" t="n">
        <f aca="false">CalcInputs!G11</f>
        <v>2471.73959764562</v>
      </c>
      <c r="F11" s="4" t="n">
        <f aca="false">D11*E11</f>
        <v>4389063343.22725</v>
      </c>
      <c r="G11" s="4" t="n">
        <f aca="false">CalcInputs!I11</f>
        <v>450000000</v>
      </c>
      <c r="H11" s="4" t="n">
        <f aca="false">F11-G11-CalcInputs!J11</f>
        <v>3053418087.94076</v>
      </c>
      <c r="I11" s="4" t="n">
        <f aca="false">CalcInputs!C11</f>
        <v>21295900000</v>
      </c>
      <c r="J11" s="4" t="n">
        <f aca="false">CalcInputs!D11</f>
        <v>13842335000</v>
      </c>
      <c r="K11" s="4" t="n">
        <f aca="false">I11-J11</f>
        <v>7453565000</v>
      </c>
      <c r="L11" s="4" t="n">
        <f aca="false">-I11+NPV(Assumptions!$B$2,CashFlows!D11:R11)</f>
        <v>1944886398.11704</v>
      </c>
      <c r="M11" s="3" t="n">
        <f aca="false">IRR(CashFlows!C11:R11)</f>
        <v>0.136428825768957</v>
      </c>
      <c r="N11" s="4" t="n">
        <f aca="false">-K11+NPV(Assumptions!$B$3,CashFlows!T11:AH11)</f>
        <v>1989346696.59175</v>
      </c>
      <c r="O11" s="3" t="n">
        <f aca="false">IRR(CashFlows!S11:AH11)</f>
        <v>0.173491876256147</v>
      </c>
      <c r="P11" s="0" t="str">
        <f aca="false">CalcInputs!P11</f>
        <v>FEASIBLE_ZONE</v>
      </c>
      <c r="Q11" s="0" t="str">
        <f aca="false">IF(AND(N11&gt;0,J11&gt;=0),"PASS","CHECK")</f>
        <v>PASS</v>
      </c>
    </row>
    <row r="12" customFormat="false" ht="13.8" hidden="false" customHeight="false" outlineLevel="0" collapsed="false">
      <c r="A12" s="0" t="str">
        <f aca="false">CalcInputs!A12</f>
        <v>CURRENT_TERMS</v>
      </c>
      <c r="B12" s="0" t="str">
        <f aca="false">CalcInputs!B12</f>
        <v>VG-006</v>
      </c>
      <c r="C12" s="4" t="n">
        <f aca="false">CalcInputs!E12*CalcInputs!F12</f>
        <v>1776000</v>
      </c>
      <c r="D12" s="4" t="n">
        <f aca="false">CalcInputs!H12</f>
        <v>1776000</v>
      </c>
      <c r="E12" s="4" t="n">
        <f aca="false">CalcInputs!G12</f>
        <v>2092.64</v>
      </c>
      <c r="F12" s="4" t="n">
        <f aca="false">D12*E12</f>
        <v>3716528640</v>
      </c>
      <c r="G12" s="4" t="n">
        <f aca="false">CalcInputs!I12</f>
        <v>450000000</v>
      </c>
      <c r="H12" s="4" t="n">
        <f aca="false">F12-G12-CalcInputs!J12</f>
        <v>2636395236.70151</v>
      </c>
      <c r="I12" s="4" t="n">
        <f aca="false">CalcInputs!C12</f>
        <v>26619875000</v>
      </c>
      <c r="J12" s="4" t="n">
        <f aca="false">CalcInputs!D12</f>
        <v>14118794745.9551</v>
      </c>
      <c r="K12" s="4" t="n">
        <f aca="false">I12-J12</f>
        <v>12501080254.0449</v>
      </c>
      <c r="L12" s="4" t="n">
        <f aca="false">-I12+NPV(Assumptions!$B$2,CashFlows!D12:R12)</f>
        <v>-6669567444.54946</v>
      </c>
      <c r="M12" s="3" t="n">
        <f aca="false">IRR(CashFlows!C12:R12)</f>
        <v>0.0712937646431223</v>
      </c>
      <c r="N12" s="4" t="n">
        <f aca="false">-K12+NPV(Assumptions!$B$3,CashFlows!T12:AH12)</f>
        <v>-5838367453.39136</v>
      </c>
      <c r="O12" s="3" t="n">
        <f aca="false">IRR(CashFlows!S12:AH12)</f>
        <v>0.0632294581831855</v>
      </c>
      <c r="P12" s="0" t="str">
        <f aca="false">CalcInputs!P12</f>
        <v>EMPTY_ZONE</v>
      </c>
      <c r="Q12" s="0" t="str">
        <f aca="false">IF(AND(N12&gt;0,J12&gt;=0),"PASS","CHECK")</f>
        <v>CHECK</v>
      </c>
    </row>
    <row r="13" customFormat="false" ht="13.8" hidden="false" customHeight="false" outlineLevel="0" collapsed="false">
      <c r="A13" s="0" t="str">
        <f aca="false">CalcInputs!A13</f>
        <v>NEGOTIATED_TERMS</v>
      </c>
      <c r="B13" s="0" t="str">
        <f aca="false">CalcInputs!B13</f>
        <v>VG-006</v>
      </c>
      <c r="C13" s="4" t="n">
        <f aca="false">CalcInputs!E13*CalcInputs!F13</f>
        <v>1776000</v>
      </c>
      <c r="D13" s="4" t="n">
        <f aca="false">CalcInputs!H13</f>
        <v>1776000</v>
      </c>
      <c r="E13" s="4" t="n">
        <f aca="false">CalcInputs!G13</f>
        <v>2384.55113349066</v>
      </c>
      <c r="F13" s="4" t="n">
        <f aca="false">D13*E13</f>
        <v>4234962813.07942</v>
      </c>
      <c r="G13" s="4" t="n">
        <f aca="false">CalcInputs!I13</f>
        <v>450000000</v>
      </c>
      <c r="H13" s="4" t="n">
        <f aca="false">F13-G13-CalcInputs!J13</f>
        <v>2942803460.82095</v>
      </c>
      <c r="I13" s="4" t="n">
        <f aca="false">CalcInputs!C13</f>
        <v>21295900000</v>
      </c>
      <c r="J13" s="4" t="n">
        <f aca="false">CalcInputs!D13</f>
        <v>13842335000</v>
      </c>
      <c r="K13" s="4" t="n">
        <f aca="false">I13-J13</f>
        <v>7453565000</v>
      </c>
      <c r="L13" s="4" t="n">
        <f aca="false">-I13+NPV(Assumptions!$B$2,CashFlows!D13:R13)</f>
        <v>1093373795.13131</v>
      </c>
      <c r="M13" s="3" t="n">
        <f aca="false">IRR(CashFlows!C13:R13)</f>
        <v>0.129305599457578</v>
      </c>
      <c r="N13" s="4" t="n">
        <f aca="false">-K13+NPV(Assumptions!$B$3,CashFlows!T13:AH13)</f>
        <v>1301763064.08352</v>
      </c>
      <c r="O13" s="3" t="n">
        <f aca="false">IRR(CashFlows!S13:AH13)</f>
        <v>0.162427616766669</v>
      </c>
      <c r="P13" s="0" t="str">
        <f aca="false">CalcInputs!P13</f>
        <v>FEASIBLE_ZONE</v>
      </c>
      <c r="Q13" s="0" t="str">
        <f aca="false">IF(AND(N13&gt;0,J13&gt;=0),"PASS","CHECK")</f>
        <v>PASS</v>
      </c>
    </row>
    <row r="14" customFormat="false" ht="13.8" hidden="false" customHeight="false" outlineLevel="0" collapsed="false">
      <c r="A14" s="0" t="str">
        <f aca="false">CalcInputs!A14</f>
        <v>CURRENT_TERMS</v>
      </c>
      <c r="B14" s="0" t="str">
        <f aca="false">CalcInputs!B14</f>
        <v>VG-007</v>
      </c>
      <c r="C14" s="4" t="n">
        <f aca="false">CalcInputs!E14*CalcInputs!F14</f>
        <v>1924000</v>
      </c>
      <c r="D14" s="4" t="n">
        <f aca="false">CalcInputs!H14</f>
        <v>1924000</v>
      </c>
      <c r="E14" s="4" t="n">
        <f aca="false">CalcInputs!G14</f>
        <v>2140.2</v>
      </c>
      <c r="F14" s="4" t="n">
        <f aca="false">D14*E14</f>
        <v>4117744800</v>
      </c>
      <c r="G14" s="4" t="n">
        <f aca="false">CalcInputs!I14</f>
        <v>487500000</v>
      </c>
      <c r="H14" s="4" t="n">
        <f aca="false">F14-G14-CalcInputs!J14</f>
        <v>2921778196.69147</v>
      </c>
      <c r="I14" s="4" t="n">
        <f aca="false">CalcInputs!C14</f>
        <v>28838197916.6667</v>
      </c>
      <c r="J14" s="4" t="n">
        <f aca="false">CalcInputs!D14</f>
        <v>15652695967.7684</v>
      </c>
      <c r="K14" s="4" t="n">
        <f aca="false">I14-J14</f>
        <v>13185501948.8982</v>
      </c>
      <c r="L14" s="4" t="n">
        <f aca="false">-I14+NPV(Assumptions!$B$2,CashFlows!D14:R14)</f>
        <v>-6719733535.343</v>
      </c>
      <c r="M14" s="3" t="n">
        <f aca="false">IRR(CashFlows!C14:R14)</f>
        <v>0.0749261457929292</v>
      </c>
      <c r="N14" s="4" t="n">
        <f aca="false">-K14+NPV(Assumptions!$B$3,CashFlows!T14:AH14)</f>
        <v>-5798170614.59295</v>
      </c>
      <c r="O14" s="3" t="n">
        <f aca="false">IRR(CashFlows!S14:AH14)</f>
        <v>0.0687486737330149</v>
      </c>
      <c r="P14" s="0" t="str">
        <f aca="false">CalcInputs!P14</f>
        <v>EMPTY_ZONE</v>
      </c>
      <c r="Q14" s="0" t="str">
        <f aca="false">IF(AND(N14&gt;0,J14&gt;=0),"PASS","CHECK")</f>
        <v>CHECK</v>
      </c>
    </row>
    <row r="15" customFormat="false" ht="13.8" hidden="false" customHeight="false" outlineLevel="0" collapsed="false">
      <c r="A15" s="0" t="str">
        <f aca="false">CalcInputs!A15</f>
        <v>NEGOTIATED_TERMS</v>
      </c>
      <c r="B15" s="0" t="str">
        <f aca="false">CalcInputs!B15</f>
        <v>VG-007</v>
      </c>
      <c r="C15" s="4" t="n">
        <f aca="false">CalcInputs!E15*CalcInputs!F15</f>
        <v>1924000</v>
      </c>
      <c r="D15" s="4" t="n">
        <f aca="false">CalcInputs!H15</f>
        <v>1924000</v>
      </c>
      <c r="E15" s="4" t="n">
        <f aca="false">CalcInputs!G15</f>
        <v>2413.55113349066</v>
      </c>
      <c r="F15" s="4" t="n">
        <f aca="false">D15*E15</f>
        <v>4643672380.83603</v>
      </c>
      <c r="G15" s="4" t="n">
        <f aca="false">CalcInputs!I15</f>
        <v>487500000</v>
      </c>
      <c r="H15" s="4" t="n">
        <f aca="false">F15-G15-CalcInputs!J15</f>
        <v>3228087909.95329</v>
      </c>
      <c r="I15" s="4" t="n">
        <f aca="false">CalcInputs!C15</f>
        <v>23070558333.3333</v>
      </c>
      <c r="J15" s="4" t="n">
        <f aca="false">CalcInputs!D15</f>
        <v>14995862916.6667</v>
      </c>
      <c r="K15" s="4" t="n">
        <f aca="false">I15-J15</f>
        <v>8074695416.66667</v>
      </c>
      <c r="L15" s="4" t="n">
        <f aca="false">-I15+NPV(Assumptions!$B$2,CashFlows!D15:R15)</f>
        <v>1492799983.09078</v>
      </c>
      <c r="M15" s="3" t="n">
        <f aca="false">IRR(CashFlows!C15:R15)</f>
        <v>0.131697889030887</v>
      </c>
      <c r="N15" s="4" t="n">
        <f aca="false">-K15+NPV(Assumptions!$B$3,CashFlows!T15:AH15)</f>
        <v>1659200388.69946</v>
      </c>
      <c r="O15" s="3" t="n">
        <f aca="false">IRR(CashFlows!S15:AH15)</f>
        <v>0.166181465361722</v>
      </c>
      <c r="P15" s="0" t="str">
        <f aca="false">CalcInputs!P15</f>
        <v>FEASIBLE_ZONE</v>
      </c>
      <c r="Q15" s="0" t="str">
        <f aca="false">IF(AND(N15&gt;0,J15&gt;=0),"PASS","CHECK")</f>
        <v>PASS</v>
      </c>
    </row>
    <row r="16" customFormat="false" ht="13.8" hidden="false" customHeight="false" outlineLevel="0" collapsed="false">
      <c r="A16" s="0" t="str">
        <f aca="false">CalcInputs!A16</f>
        <v>CURRENT_TERMS</v>
      </c>
      <c r="B16" s="0" t="str">
        <f aca="false">CalcInputs!B16</f>
        <v>VG-008</v>
      </c>
      <c r="C16" s="4" t="n">
        <f aca="false">CalcInputs!E16*CalcInputs!F16</f>
        <v>1846000</v>
      </c>
      <c r="D16" s="4" t="n">
        <f aca="false">CalcInputs!H16</f>
        <v>1846000</v>
      </c>
      <c r="E16" s="4" t="n">
        <f aca="false">CalcInputs!G16</f>
        <v>2218.5</v>
      </c>
      <c r="F16" s="4" t="n">
        <f aca="false">D16*E16</f>
        <v>4095351000</v>
      </c>
      <c r="G16" s="4" t="n">
        <f aca="false">CalcInputs!I16</f>
        <v>487500000</v>
      </c>
      <c r="H16" s="4" t="n">
        <f aca="false">F16-G16-CalcInputs!J16</f>
        <v>2905703742.99284</v>
      </c>
      <c r="I16" s="4" t="n">
        <f aca="false">CalcInputs!C16</f>
        <v>28838197916.6667</v>
      </c>
      <c r="J16" s="4" t="n">
        <f aca="false">CalcInputs!D16</f>
        <v>15565246649.2811</v>
      </c>
      <c r="K16" s="4" t="n">
        <f aca="false">I16-J16</f>
        <v>13272951267.3855</v>
      </c>
      <c r="L16" s="4" t="n">
        <f aca="false">-I16+NPV(Assumptions!$B$2,CashFlows!D16:R16)</f>
        <v>-6843474854.79498</v>
      </c>
      <c r="M16" s="3" t="n">
        <f aca="false">IRR(CashFlows!C16:R16)</f>
        <v>0.0740409737947848</v>
      </c>
      <c r="N16" s="4" t="n">
        <f aca="false">-K16+NPV(Assumptions!$B$3,CashFlows!T16:AH16)</f>
        <v>-5927074747.41642</v>
      </c>
      <c r="O16" s="3" t="n">
        <f aca="false">IRR(CashFlows!S16:AH16)</f>
        <v>0.0673884893588154</v>
      </c>
      <c r="P16" s="0" t="str">
        <f aca="false">CalcInputs!P16</f>
        <v>EMPTY_ZONE</v>
      </c>
      <c r="Q16" s="0" t="str">
        <f aca="false">IF(AND(N16&gt;0,J16&gt;=0),"PASS","CHECK")</f>
        <v>CHECK</v>
      </c>
    </row>
    <row r="17" customFormat="false" ht="13.8" hidden="false" customHeight="false" outlineLevel="0" collapsed="false">
      <c r="A17" s="0" t="str">
        <f aca="false">CalcInputs!A17</f>
        <v>NEGOTIATED_TERMS</v>
      </c>
      <c r="B17" s="0" t="str">
        <f aca="false">CalcInputs!B17</f>
        <v>VG-008</v>
      </c>
      <c r="C17" s="4" t="n">
        <f aca="false">CalcInputs!E17*CalcInputs!F17</f>
        <v>1846000</v>
      </c>
      <c r="D17" s="4" t="n">
        <f aca="false">CalcInputs!H17</f>
        <v>1846000</v>
      </c>
      <c r="E17" s="4" t="n">
        <f aca="false">CalcInputs!G17</f>
        <v>2387.89132222971</v>
      </c>
      <c r="F17" s="4" t="n">
        <f aca="false">D17*E17</f>
        <v>4408047380.83604</v>
      </c>
      <c r="G17" s="4" t="n">
        <f aca="false">CalcInputs!I17</f>
        <v>487500000</v>
      </c>
      <c r="H17" s="4" t="n">
        <f aca="false">F17-G17-CalcInputs!J17</f>
        <v>3058954348.30946</v>
      </c>
      <c r="I17" s="4" t="n">
        <f aca="false">CalcInputs!C17</f>
        <v>23070558333.3333</v>
      </c>
      <c r="J17" s="4" t="n">
        <f aca="false">CalcInputs!D17</f>
        <v>14995862916.6667</v>
      </c>
      <c r="K17" s="4" t="n">
        <f aca="false">I17-J17</f>
        <v>8074695416.66667</v>
      </c>
      <c r="L17" s="4" t="n">
        <f aca="false">-I17+NPV(Assumptions!$B$2,CashFlows!D17:R17)</f>
        <v>190807985.490051</v>
      </c>
      <c r="M17" s="3" t="n">
        <f aca="false">IRR(CashFlows!C17:R17)</f>
        <v>0.121511828463425</v>
      </c>
      <c r="N17" s="4" t="n">
        <f aca="false">-K17+NPV(Assumptions!$B$3,CashFlows!T17:AH17)</f>
        <v>619105123.077674</v>
      </c>
      <c r="O17" s="3" t="n">
        <f aca="false">IRR(CashFlows!S17:AH17)</f>
        <v>0.150132139381161</v>
      </c>
      <c r="P17" s="0" t="str">
        <f aca="false">CalcInputs!P17</f>
        <v>FEASIBLE_ZONE</v>
      </c>
      <c r="Q17" s="0" t="str">
        <f aca="false">IF(AND(N17&gt;0,J17&gt;=0),"PASS","CHECK")</f>
        <v>PASS</v>
      </c>
    </row>
    <row r="18" customFormat="false" ht="13.8" hidden="false" customHeight="false" outlineLevel="0" collapsed="false">
      <c r="A18" s="0" t="str">
        <f aca="false">CalcInputs!A18</f>
        <v>CURRENT_TERMS</v>
      </c>
      <c r="B18" s="0" t="str">
        <f aca="false">CalcInputs!B18</f>
        <v>VG-009</v>
      </c>
      <c r="C18" s="4" t="n">
        <f aca="false">CalcInputs!E18*CalcInputs!F18</f>
        <v>1846000</v>
      </c>
      <c r="D18" s="4" t="n">
        <f aca="false">CalcInputs!H18</f>
        <v>1846000</v>
      </c>
      <c r="E18" s="4" t="n">
        <f aca="false">CalcInputs!G18</f>
        <v>2270.7</v>
      </c>
      <c r="F18" s="4" t="n">
        <f aca="false">D18*E18</f>
        <v>4191712200</v>
      </c>
      <c r="G18" s="4" t="n">
        <f aca="false">CalcInputs!I18</f>
        <v>487500000</v>
      </c>
      <c r="H18" s="4" t="n">
        <f aca="false">F18-G18-CalcInputs!J18</f>
        <v>2974872604.3627</v>
      </c>
      <c r="I18" s="4" t="n">
        <f aca="false">CalcInputs!C18</f>
        <v>28838197916.6667</v>
      </c>
      <c r="J18" s="4" t="n">
        <f aca="false">CalcInputs!D18</f>
        <v>15941543716.7113</v>
      </c>
      <c r="K18" s="4" t="n">
        <f aca="false">I18-J18</f>
        <v>12896654199.9554</v>
      </c>
      <c r="L18" s="4" t="n">
        <f aca="false">-I18+NPV(Assumptions!$B$2,CashFlows!D18:R18)</f>
        <v>-6311012207.45617</v>
      </c>
      <c r="M18" s="3" t="n">
        <f aca="false">IRR(CashFlows!C18:R18)</f>
        <v>0.0778330276616707</v>
      </c>
      <c r="N18" s="4" t="n">
        <f aca="false">-K18+NPV(Assumptions!$B$3,CashFlows!T18:AH18)</f>
        <v>-5372396357.69117</v>
      </c>
      <c r="O18" s="3" t="n">
        <f aca="false">IRR(CashFlows!S18:AH18)</f>
        <v>0.0732880676249547</v>
      </c>
      <c r="P18" s="0" t="str">
        <f aca="false">CalcInputs!P18</f>
        <v>EMPTY_ZONE</v>
      </c>
      <c r="Q18" s="0" t="str">
        <f aca="false">IF(AND(N18&gt;0,J18&gt;=0),"PASS","CHECK")</f>
        <v>CHECK</v>
      </c>
    </row>
    <row r="19" customFormat="false" ht="13.8" hidden="false" customHeight="false" outlineLevel="0" collapsed="false">
      <c r="A19" s="0" t="str">
        <f aca="false">CalcInputs!A19</f>
        <v>NEGOTIATED_TERMS</v>
      </c>
      <c r="B19" s="0" t="str">
        <f aca="false">CalcInputs!B19</f>
        <v>VG-009</v>
      </c>
      <c r="C19" s="4" t="n">
        <f aca="false">CalcInputs!E19*CalcInputs!F19</f>
        <v>1846000</v>
      </c>
      <c r="D19" s="4" t="n">
        <f aca="false">CalcInputs!H19</f>
        <v>1846000</v>
      </c>
      <c r="E19" s="4" t="n">
        <f aca="false">CalcInputs!G19</f>
        <v>2416.8913222297</v>
      </c>
      <c r="F19" s="4" t="n">
        <f aca="false">D19*E19</f>
        <v>4461581380.83603</v>
      </c>
      <c r="G19" s="4" t="n">
        <f aca="false">CalcInputs!I19</f>
        <v>487500000</v>
      </c>
      <c r="H19" s="4" t="n">
        <f aca="false">F19-G19-CalcInputs!J19</f>
        <v>3097381493.51493</v>
      </c>
      <c r="I19" s="4" t="n">
        <f aca="false">CalcInputs!C19</f>
        <v>23070558333.3333</v>
      </c>
      <c r="J19" s="4" t="n">
        <f aca="false">CalcInputs!D19</f>
        <v>14995862916.6667</v>
      </c>
      <c r="K19" s="4" t="n">
        <f aca="false">I19-J19</f>
        <v>8074695416.66667</v>
      </c>
      <c r="L19" s="4" t="n">
        <f aca="false">-I19+NPV(Assumptions!$B$2,CashFlows!D19:R19)</f>
        <v>486620567.344909</v>
      </c>
      <c r="M19" s="3" t="n">
        <f aca="false">IRR(CashFlows!C19:R19)</f>
        <v>0.123845715838427</v>
      </c>
      <c r="N19" s="4" t="n">
        <f aca="false">-K19+NPV(Assumptions!$B$3,CashFlows!T19:AH19)</f>
        <v>851945953.55768</v>
      </c>
      <c r="O19" s="3" t="n">
        <f aca="false">IRR(CashFlows!S19:AH19)</f>
        <v>0.153813272571581</v>
      </c>
      <c r="P19" s="0" t="str">
        <f aca="false">CalcInputs!P19</f>
        <v>FEASIBLE_ZONE</v>
      </c>
      <c r="Q19" s="0" t="str">
        <f aca="false">IF(AND(N19&gt;0,J19&gt;=0),"PASS","CHECK")</f>
        <v>PASS</v>
      </c>
    </row>
    <row r="20" customFormat="false" ht="13.8" hidden="false" customHeight="false" outlineLevel="0" collapsed="false">
      <c r="A20" s="0" t="str">
        <f aca="false">CalcInputs!A20</f>
        <v>CURRENT_TERMS</v>
      </c>
      <c r="B20" s="0" t="str">
        <f aca="false">CalcInputs!B20</f>
        <v>VG-010</v>
      </c>
      <c r="C20" s="4" t="n">
        <f aca="false">CalcInputs!E20*CalcInputs!F20</f>
        <v>1846000</v>
      </c>
      <c r="D20" s="4" t="n">
        <f aca="false">CalcInputs!H20</f>
        <v>1846000</v>
      </c>
      <c r="E20" s="4" t="n">
        <f aca="false">CalcInputs!G20</f>
        <v>2187.76</v>
      </c>
      <c r="F20" s="4" t="n">
        <f aca="false">D20*E20</f>
        <v>4038604960</v>
      </c>
      <c r="G20" s="4" t="n">
        <f aca="false">CalcInputs!I20</f>
        <v>487500000</v>
      </c>
      <c r="H20" s="4" t="n">
        <f aca="false">F20-G20-CalcInputs!J20</f>
        <v>2864970969.07503</v>
      </c>
      <c r="I20" s="4" t="n">
        <f aca="false">CalcInputs!C20</f>
        <v>28838197916.6667</v>
      </c>
      <c r="J20" s="4" t="n">
        <f aca="false">CalcInputs!D20</f>
        <v>15343649487.3501</v>
      </c>
      <c r="K20" s="4" t="n">
        <f aca="false">I20-J20</f>
        <v>13494548429.3166</v>
      </c>
      <c r="L20" s="4" t="n">
        <f aca="false">-I20+NPV(Assumptions!$B$2,CashFlows!D20:R20)</f>
        <v>-7157036191.56116</v>
      </c>
      <c r="M20" s="3" t="n">
        <f aca="false">IRR(CashFlows!C20:R20)</f>
        <v>0.0717870327233096</v>
      </c>
      <c r="N20" s="4" t="n">
        <f aca="false">-K20+NPV(Assumptions!$B$3,CashFlows!T20:AH20)</f>
        <v>-6253718688.0324</v>
      </c>
      <c r="O20" s="3" t="n">
        <f aca="false">IRR(CashFlows!S20:AH20)</f>
        <v>0.0639694354345396</v>
      </c>
      <c r="P20" s="0" t="str">
        <f aca="false">CalcInputs!P20</f>
        <v>EMPTY_ZONE</v>
      </c>
      <c r="Q20" s="0" t="str">
        <f aca="false">IF(AND(N20&gt;0,J20&gt;=0),"PASS","CHECK")</f>
        <v>CHECK</v>
      </c>
    </row>
    <row r="21" customFormat="false" ht="13.8" hidden="false" customHeight="false" outlineLevel="0" collapsed="false">
      <c r="A21" s="0" t="str">
        <f aca="false">CalcInputs!A21</f>
        <v>NEGOTIATED_TERMS</v>
      </c>
      <c r="B21" s="0" t="str">
        <f aca="false">CalcInputs!B21</f>
        <v>VG-010</v>
      </c>
      <c r="C21" s="4" t="n">
        <f aca="false">CalcInputs!E21*CalcInputs!F21</f>
        <v>1846000</v>
      </c>
      <c r="D21" s="4" t="n">
        <f aca="false">CalcInputs!H21</f>
        <v>1846000</v>
      </c>
      <c r="E21" s="4" t="n">
        <f aca="false">CalcInputs!G21</f>
        <v>2489.3913222297</v>
      </c>
      <c r="F21" s="4" t="n">
        <f aca="false">D21*E21</f>
        <v>4595416380.83603</v>
      </c>
      <c r="G21" s="4" t="n">
        <f aca="false">CalcInputs!I21</f>
        <v>487500000</v>
      </c>
      <c r="H21" s="4" t="n">
        <f aca="false">F21-G21-CalcInputs!J21</f>
        <v>3193449356.52863</v>
      </c>
      <c r="I21" s="4" t="n">
        <f aca="false">CalcInputs!C21</f>
        <v>23070558333.3333</v>
      </c>
      <c r="J21" s="4" t="n">
        <f aca="false">CalcInputs!D21</f>
        <v>14995862916.6667</v>
      </c>
      <c r="K21" s="4" t="n">
        <f aca="false">I21-J21</f>
        <v>8074695416.66667</v>
      </c>
      <c r="L21" s="4" t="n">
        <f aca="false">-I21+NPV(Assumptions!$B$2,CashFlows!D21:R21)</f>
        <v>1226152021.98214</v>
      </c>
      <c r="M21" s="3" t="n">
        <f aca="false">IRR(CashFlows!C21:R21)</f>
        <v>0.129629576659392</v>
      </c>
      <c r="N21" s="4" t="n">
        <f aca="false">-K21+NPV(Assumptions!$B$3,CashFlows!T21:AH21)</f>
        <v>1443886166.62322</v>
      </c>
      <c r="O21" s="3" t="n">
        <f aca="false">IRR(CashFlows!S21:AH21)</f>
        <v>0.162938274301723</v>
      </c>
      <c r="P21" s="0" t="str">
        <f aca="false">CalcInputs!P21</f>
        <v>FEASIBLE_ZONE</v>
      </c>
      <c r="Q21" s="0" t="str">
        <f aca="false">IF(AND(N21&gt;0,J21&gt;=0),"PASS","CHECK")</f>
        <v>PASS</v>
      </c>
    </row>
    <row r="22" customFormat="false" ht="13.8" hidden="false" customHeight="false" outlineLevel="0" collapsed="false">
      <c r="A22" s="0" t="str">
        <f aca="false">CalcInputs!A22</f>
        <v>CURRENT_TERMS</v>
      </c>
      <c r="B22" s="0" t="str">
        <f aca="false">CalcInputs!B22</f>
        <v>VG-011</v>
      </c>
      <c r="C22" s="4" t="n">
        <f aca="false">CalcInputs!E22*CalcInputs!F22</f>
        <v>1704000</v>
      </c>
      <c r="D22" s="4" t="n">
        <f aca="false">CalcInputs!H22</f>
        <v>1704000</v>
      </c>
      <c r="E22" s="4" t="n">
        <f aca="false">CalcInputs!G22</f>
        <v>2211.54</v>
      </c>
      <c r="F22" s="4" t="n">
        <f aca="false">D22*E22</f>
        <v>3768464160</v>
      </c>
      <c r="G22" s="4" t="n">
        <f aca="false">CalcInputs!I22</f>
        <v>450000000</v>
      </c>
      <c r="H22" s="4" t="n">
        <f aca="false">F22-G22-CalcInputs!J22</f>
        <v>2673674979.82479</v>
      </c>
      <c r="I22" s="4" t="n">
        <f aca="false">CalcInputs!C22</f>
        <v>26619875000</v>
      </c>
      <c r="J22" s="4" t="n">
        <f aca="false">CalcInputs!D22</f>
        <v>14321606498.7296</v>
      </c>
      <c r="K22" s="4" t="n">
        <f aca="false">I22-J22</f>
        <v>12298268501.2704</v>
      </c>
      <c r="L22" s="4" t="n">
        <f aca="false">-I22+NPV(Assumptions!$B$2,CashFlows!D22:R22)</f>
        <v>-6382587576.40629</v>
      </c>
      <c r="M22" s="3" t="n">
        <f aca="false">IRR(CashFlows!C22:R22)</f>
        <v>0.0735320258975601</v>
      </c>
      <c r="N22" s="4" t="n">
        <f aca="false">-K22+NPV(Assumptions!$B$3,CashFlows!T22:AH22)</f>
        <v>-5539414030.19672</v>
      </c>
      <c r="O22" s="3" t="n">
        <f aca="false">IRR(CashFlows!S22:AH22)</f>
        <v>0.0666109389526505</v>
      </c>
      <c r="P22" s="0" t="str">
        <f aca="false">CalcInputs!P22</f>
        <v>EMPTY_ZONE</v>
      </c>
      <c r="Q22" s="0" t="str">
        <f aca="false">IF(AND(N22&gt;0,J22&gt;=0),"PASS","CHECK")</f>
        <v>CHECK</v>
      </c>
    </row>
    <row r="23" customFormat="false" ht="13.8" hidden="false" customHeight="false" outlineLevel="0" collapsed="false">
      <c r="A23" s="0" t="str">
        <f aca="false">CalcInputs!A23</f>
        <v>NEGOTIATED_TERMS</v>
      </c>
      <c r="B23" s="0" t="str">
        <f aca="false">CalcInputs!B23</f>
        <v>VG-011</v>
      </c>
      <c r="C23" s="4" t="n">
        <f aca="false">CalcInputs!E23*CalcInputs!F23</f>
        <v>1704000</v>
      </c>
      <c r="D23" s="4" t="n">
        <f aca="false">CalcInputs!H23</f>
        <v>1704000</v>
      </c>
      <c r="E23" s="4" t="n">
        <f aca="false">CalcInputs!G23</f>
        <v>2503.89132222971</v>
      </c>
      <c r="F23" s="4" t="n">
        <f aca="false">D23*E23</f>
        <v>4266630813.07942</v>
      </c>
      <c r="G23" s="4" t="n">
        <f aca="false">CalcInputs!I23</f>
        <v>450000000</v>
      </c>
      <c r="H23" s="4" t="n">
        <f aca="false">F23-G23-CalcInputs!J23</f>
        <v>2965535011.50588</v>
      </c>
      <c r="I23" s="4" t="n">
        <f aca="false">CalcInputs!C23</f>
        <v>21295900000</v>
      </c>
      <c r="J23" s="4" t="n">
        <f aca="false">CalcInputs!D23</f>
        <v>13842335000</v>
      </c>
      <c r="K23" s="4" t="n">
        <f aca="false">I23-J23</f>
        <v>7453565000</v>
      </c>
      <c r="L23" s="4" t="n">
        <f aca="false">-I23+NPV(Assumptions!$B$2,CashFlows!D23:R23)</f>
        <v>1268361519.60886</v>
      </c>
      <c r="M23" s="3" t="n">
        <f aca="false">IRR(CashFlows!C23:R23)</f>
        <v>0.130777935941687</v>
      </c>
      <c r="N23" s="4" t="n">
        <f aca="false">-K23+NPV(Assumptions!$B$3,CashFlows!T23:AH23)</f>
        <v>1443063022.32106</v>
      </c>
      <c r="O23" s="3" t="n">
        <f aca="false">IRR(CashFlows!S23:AH23)</f>
        <v>0.164742541381264</v>
      </c>
      <c r="P23" s="0" t="str">
        <f aca="false">CalcInputs!P23</f>
        <v>FEASIBLE_ZONE</v>
      </c>
      <c r="Q23" s="0" t="str">
        <f aca="false">IF(AND(N23&gt;0,J23&gt;=0),"PASS","CHECK")</f>
        <v>PASS</v>
      </c>
    </row>
    <row r="24" customFormat="false" ht="13.8" hidden="false" customHeight="false" outlineLevel="0" collapsed="false">
      <c r="A24" s="0" t="str">
        <f aca="false">CalcInputs!A24</f>
        <v>CURRENT_TERMS</v>
      </c>
      <c r="B24" s="0" t="str">
        <f aca="false">CalcInputs!B24</f>
        <v>VG-012</v>
      </c>
      <c r="C24" s="4" t="n">
        <f aca="false">CalcInputs!E24*CalcInputs!F24</f>
        <v>1633000</v>
      </c>
      <c r="D24" s="4" t="n">
        <f aca="false">CalcInputs!H24</f>
        <v>1633000</v>
      </c>
      <c r="E24" s="4" t="n">
        <f aca="false">CalcInputs!G24</f>
        <v>2140.2</v>
      </c>
      <c r="F24" s="4" t="n">
        <f aca="false">D24*E24</f>
        <v>3494946600</v>
      </c>
      <c r="G24" s="4" t="n">
        <f aca="false">CalcInputs!I24</f>
        <v>431250000</v>
      </c>
      <c r="H24" s="4" t="n">
        <f aca="false">F24-G24-CalcInputs!J24</f>
        <v>2478648475.82981</v>
      </c>
      <c r="I24" s="4" t="n">
        <f aca="false">CalcInputs!C24</f>
        <v>25510713541.6667</v>
      </c>
      <c r="J24" s="4" t="n">
        <f aca="false">CalcInputs!D24</f>
        <v>13269939388.7356</v>
      </c>
      <c r="K24" s="4" t="n">
        <f aca="false">I24-J24</f>
        <v>12240774152.931</v>
      </c>
      <c r="L24" s="4" t="n">
        <f aca="false">-I24+NPV(Assumptions!$B$2,CashFlows!D24:R24)</f>
        <v>-6760380115.13359</v>
      </c>
      <c r="M24" s="3" t="n">
        <f aca="false">IRR(CashFlows!C24:R24)</f>
        <v>0.0682680703699313</v>
      </c>
      <c r="N24" s="4" t="n">
        <f aca="false">-K24+NPV(Assumptions!$B$3,CashFlows!T24:AH24)</f>
        <v>-5979197062.92688</v>
      </c>
      <c r="O24" s="3" t="n">
        <f aca="false">IRR(CashFlows!S24:AH24)</f>
        <v>0.0587526452152266</v>
      </c>
      <c r="P24" s="0" t="str">
        <f aca="false">CalcInputs!P24</f>
        <v>EMPTY_ZONE</v>
      </c>
      <c r="Q24" s="0" t="str">
        <f aca="false">IF(AND(N24&gt;0,J24&gt;=0),"PASS","CHECK")</f>
        <v>CHECK</v>
      </c>
    </row>
    <row r="25" customFormat="false" ht="13.8" hidden="false" customHeight="false" outlineLevel="0" collapsed="false">
      <c r="A25" s="0" t="str">
        <f aca="false">CalcInputs!A25</f>
        <v>NEGOTIATED_TERMS</v>
      </c>
      <c r="B25" s="0" t="str">
        <f aca="false">CalcInputs!B25</f>
        <v>VG-012</v>
      </c>
      <c r="C25" s="4" t="n">
        <f aca="false">CalcInputs!E25*CalcInputs!F25</f>
        <v>1633000</v>
      </c>
      <c r="D25" s="4" t="n">
        <f aca="false">CalcInputs!H25</f>
        <v>1633000</v>
      </c>
      <c r="E25" s="4" t="n">
        <f aca="false">CalcInputs!G25</f>
        <v>2460.39132222971</v>
      </c>
      <c r="F25" s="4" t="n">
        <f aca="false">D25*E25</f>
        <v>4017819029.20111</v>
      </c>
      <c r="G25" s="4" t="n">
        <f aca="false">CalcInputs!I25</f>
        <v>431250000</v>
      </c>
      <c r="H25" s="4" t="n">
        <f aca="false">F25-G25-CalcInputs!J25</f>
        <v>2790981186.93971</v>
      </c>
      <c r="I25" s="4" t="n">
        <f aca="false">CalcInputs!C25</f>
        <v>20408570833.3333</v>
      </c>
      <c r="J25" s="4" t="n">
        <f aca="false">CalcInputs!D25</f>
        <v>13265571041.6667</v>
      </c>
      <c r="K25" s="4" t="n">
        <f aca="false">I25-J25</f>
        <v>7142999791.66667</v>
      </c>
      <c r="L25" s="4" t="n">
        <f aca="false">-I25+NPV(Assumptions!$B$2,CashFlows!D25:R25)</f>
        <v>822992581.651038</v>
      </c>
      <c r="M25" s="3" t="n">
        <f aca="false">IRR(CashFlows!C25:R25)</f>
        <v>0.12732455720102</v>
      </c>
      <c r="N25" s="4" t="n">
        <f aca="false">-K25+NPV(Assumptions!$B$3,CashFlows!T25:AH25)</f>
        <v>1065980957.1027</v>
      </c>
      <c r="O25" s="3" t="n">
        <f aca="false">IRR(CashFlows!S25:AH25)</f>
        <v>0.159289278792329</v>
      </c>
      <c r="P25" s="0" t="str">
        <f aca="false">CalcInputs!P25</f>
        <v>FEASIBLE_ZONE</v>
      </c>
      <c r="Q25" s="0" t="str">
        <f aca="false">IF(AND(N25&gt;0,J25&gt;=0),"PASS","CHECK")</f>
        <v>PASS</v>
      </c>
    </row>
    <row r="26" customFormat="false" ht="13.8" hidden="false" customHeight="false" outlineLevel="0" collapsed="false">
      <c r="A26" s="0" t="str">
        <f aca="false">CalcInputs!A26</f>
        <v>CURRENT_TERMS</v>
      </c>
      <c r="B26" s="0" t="str">
        <f aca="false">CalcInputs!B26</f>
        <v>VG-013</v>
      </c>
      <c r="C26" s="4" t="n">
        <f aca="false">CalcInputs!E26*CalcInputs!F26</f>
        <v>1491000</v>
      </c>
      <c r="D26" s="4" t="n">
        <f aca="false">CalcInputs!H26</f>
        <v>1491000</v>
      </c>
      <c r="E26" s="4" t="n">
        <f aca="false">CalcInputs!G26</f>
        <v>2128.31</v>
      </c>
      <c r="F26" s="4" t="n">
        <f aca="false">D26*E26</f>
        <v>3173310210</v>
      </c>
      <c r="G26" s="4" t="n">
        <f aca="false">CalcInputs!I26</f>
        <v>393750000</v>
      </c>
      <c r="H26" s="4" t="n">
        <f aca="false">F26-G26-CalcInputs!J26</f>
        <v>2250388528.82615</v>
      </c>
      <c r="I26" s="4" t="n">
        <f aca="false">CalcInputs!C26</f>
        <v>23292390625</v>
      </c>
      <c r="J26" s="4" t="n">
        <f aca="false">CalcInputs!D26</f>
        <v>12046802604.0377</v>
      </c>
      <c r="K26" s="4" t="n">
        <f aca="false">I26-J26</f>
        <v>11245588020.9623</v>
      </c>
      <c r="L26" s="4" t="n">
        <f aca="false">-I26+NPV(Assumptions!$B$2,CashFlows!D26:R26)</f>
        <v>-6270480448.90913</v>
      </c>
      <c r="M26" s="3" t="n">
        <f aca="false">IRR(CashFlows!C26:R26)</f>
        <v>0.0673821288251119</v>
      </c>
      <c r="N26" s="4" t="n">
        <f aca="false">-K26+NPV(Assumptions!$B$3,CashFlows!T26:AH26)</f>
        <v>-5561313484.72856</v>
      </c>
      <c r="O26" s="3" t="n">
        <f aca="false">IRR(CashFlows!S26:AH26)</f>
        <v>0.0574613859300567</v>
      </c>
      <c r="P26" s="0" t="str">
        <f aca="false">CalcInputs!P26</f>
        <v>EMPTY_ZONE</v>
      </c>
      <c r="Q26" s="0" t="str">
        <f aca="false">IF(AND(N26&gt;0,J26&gt;=0),"PASS","CHECK")</f>
        <v>CHECK</v>
      </c>
    </row>
    <row r="27" customFormat="false" ht="13.8" hidden="false" customHeight="false" outlineLevel="0" collapsed="false">
      <c r="A27" s="0" t="str">
        <f aca="false">CalcInputs!A27</f>
        <v>NEGOTIATED_TERMS</v>
      </c>
      <c r="B27" s="0" t="str">
        <f aca="false">CalcInputs!B27</f>
        <v>VG-013</v>
      </c>
      <c r="C27" s="4" t="n">
        <f aca="false">CalcInputs!E27*CalcInputs!F27</f>
        <v>1491000</v>
      </c>
      <c r="D27" s="4" t="n">
        <f aca="false">CalcInputs!H27</f>
        <v>1491000</v>
      </c>
      <c r="E27" s="4" t="n">
        <f aca="false">CalcInputs!G27</f>
        <v>2453.1413222297</v>
      </c>
      <c r="F27" s="4" t="n">
        <f aca="false">D27*E27</f>
        <v>3657633711.44449</v>
      </c>
      <c r="G27" s="4" t="n">
        <f aca="false">CalcInputs!I27</f>
        <v>393750000</v>
      </c>
      <c r="H27" s="4" t="n">
        <f aca="false">F27-G27-CalcInputs!J27</f>
        <v>2540527843.28682</v>
      </c>
      <c r="I27" s="4" t="n">
        <f aca="false">CalcInputs!C27</f>
        <v>18633912500</v>
      </c>
      <c r="J27" s="4" t="n">
        <f aca="false">CalcInputs!D27</f>
        <v>12112043125</v>
      </c>
      <c r="K27" s="4" t="n">
        <f aca="false">I27-J27</f>
        <v>6521869375</v>
      </c>
      <c r="L27" s="4" t="n">
        <f aca="false">-I27+NPV(Assumptions!$B$2,CashFlows!D27:R27)</f>
        <v>691696622.612849</v>
      </c>
      <c r="M27" s="3" t="n">
        <f aca="false">IRR(CashFlows!C27:R27)</f>
        <v>0.126746546073277</v>
      </c>
      <c r="N27" s="4" t="n">
        <f aca="false">-K27+NPV(Assumptions!$B$3,CashFlows!T27:AH27)</f>
        <v>925054763.549884</v>
      </c>
      <c r="O27" s="3" t="n">
        <f aca="false">IRR(CashFlows!S27:AH27)</f>
        <v>0.158368447940722</v>
      </c>
      <c r="P27" s="0" t="str">
        <f aca="false">CalcInputs!P27</f>
        <v>FEASIBLE_ZONE</v>
      </c>
      <c r="Q27" s="0" t="str">
        <f aca="false">IF(AND(N27&gt;0,J27&gt;=0),"PASS","CHECK")</f>
        <v>PASS</v>
      </c>
    </row>
    <row r="28" customFormat="false" ht="13.8" hidden="false" customHeight="false" outlineLevel="0" collapsed="false">
      <c r="A28" s="0" t="str">
        <f aca="false">CalcInputs!A28</f>
        <v>CURRENT_TERMS</v>
      </c>
      <c r="B28" s="0" t="str">
        <f aca="false">CalcInputs!B28</f>
        <v>VG-014</v>
      </c>
      <c r="C28" s="4" t="n">
        <f aca="false">CalcInputs!E28*CalcInputs!F28</f>
        <v>1775000</v>
      </c>
      <c r="D28" s="4" t="n">
        <f aca="false">CalcInputs!H28</f>
        <v>1775000</v>
      </c>
      <c r="E28" s="4" t="n">
        <f aca="false">CalcInputs!G28</f>
        <v>2104.53</v>
      </c>
      <c r="F28" s="4" t="n">
        <f aca="false">D28*E28</f>
        <v>3735540750</v>
      </c>
      <c r="G28" s="4" t="n">
        <f aca="false">CalcInputs!I28</f>
        <v>468750000</v>
      </c>
      <c r="H28" s="4" t="n">
        <f aca="false">F28-G28-CalcInputs!J28</f>
        <v>2648735636.86087</v>
      </c>
      <c r="I28" s="4" t="n">
        <f aca="false">CalcInputs!C28</f>
        <v>27729036458.3333</v>
      </c>
      <c r="J28" s="4" t="n">
        <f aca="false">CalcInputs!D28</f>
        <v>14176600691.0821</v>
      </c>
      <c r="K28" s="4" t="n">
        <f aca="false">I28-J28</f>
        <v>13552435767.2513</v>
      </c>
      <c r="L28" s="4" t="n">
        <f aca="false">-I28+NPV(Assumptions!$B$2,CashFlows!D28:R28)</f>
        <v>-7698094520.65836</v>
      </c>
      <c r="M28" s="3" t="n">
        <f aca="false">IRR(CashFlows!C28:R28)</f>
        <v>0.0656025999654771</v>
      </c>
      <c r="N28" s="4" t="n">
        <f aca="false">-K28+NPV(Assumptions!$B$3,CashFlows!T28:AH28)</f>
        <v>-6863579389.40693</v>
      </c>
      <c r="O28" s="3" t="n">
        <f aca="false">IRR(CashFlows!S28:AH28)</f>
        <v>0.0548934018456543</v>
      </c>
      <c r="P28" s="0" t="str">
        <f aca="false">CalcInputs!P28</f>
        <v>EMPTY_ZONE</v>
      </c>
      <c r="Q28" s="0" t="str">
        <f aca="false">IF(AND(N28&gt;0,J28&gt;=0),"PASS","CHECK")</f>
        <v>CHECK</v>
      </c>
    </row>
    <row r="29" customFormat="false" ht="13.8" hidden="false" customHeight="false" outlineLevel="0" collapsed="false">
      <c r="A29" s="0" t="str">
        <f aca="false">CalcInputs!A29</f>
        <v>NEGOTIATED_TERMS</v>
      </c>
      <c r="B29" s="0" t="str">
        <f aca="false">CalcInputs!B29</f>
        <v>VG-014</v>
      </c>
      <c r="C29" s="4" t="n">
        <f aca="false">CalcInputs!E29*CalcInputs!F29</f>
        <v>1775000</v>
      </c>
      <c r="D29" s="4" t="n">
        <f aca="false">CalcInputs!H29</f>
        <v>1775000</v>
      </c>
      <c r="E29" s="4" t="n">
        <f aca="false">CalcInputs!G29</f>
        <v>2438.64132222971</v>
      </c>
      <c r="F29" s="4" t="n">
        <f aca="false">D29*E29</f>
        <v>4328588346.95773</v>
      </c>
      <c r="G29" s="4" t="n">
        <f aca="false">CalcInputs!I29</f>
        <v>468750000</v>
      </c>
      <c r="H29" s="4" t="n">
        <f aca="false">F29-G29-CalcInputs!J29</f>
        <v>3005963319.6337</v>
      </c>
      <c r="I29" s="4" t="n">
        <f aca="false">CalcInputs!C29</f>
        <v>22183229166.6667</v>
      </c>
      <c r="J29" s="4" t="n">
        <f aca="false">CalcInputs!D29</f>
        <v>14419098958.3333</v>
      </c>
      <c r="K29" s="4" t="n">
        <f aca="false">I29-J29</f>
        <v>7764130208.33333</v>
      </c>
      <c r="L29" s="4" t="n">
        <f aca="false">-I29+NPV(Assumptions!$B$2,CashFlows!D29:R29)</f>
        <v>681230772.823166</v>
      </c>
      <c r="M29" s="3" t="n">
        <f aca="false">IRR(CashFlows!C29:R29)</f>
        <v>0.125588383346958</v>
      </c>
      <c r="N29" s="4" t="n">
        <f aca="false">-K29+NPV(Assumptions!$B$3,CashFlows!T29:AH29)</f>
        <v>987092861.94011</v>
      </c>
      <c r="O29" s="3" t="n">
        <f aca="false">IRR(CashFlows!S29:AH29)</f>
        <v>0.156530359458199</v>
      </c>
      <c r="P29" s="0" t="str">
        <f aca="false">CalcInputs!P29</f>
        <v>FEASIBLE_ZONE</v>
      </c>
      <c r="Q29" s="0" t="str">
        <f aca="false">IF(AND(N29&gt;0,J29&gt;=0),"PASS","CHECK")</f>
        <v>PASS</v>
      </c>
    </row>
    <row r="30" customFormat="false" ht="13.8" hidden="false" customHeight="false" outlineLevel="0" collapsed="false">
      <c r="A30" s="0" t="str">
        <f aca="false">CalcInputs!A30</f>
        <v>CURRENT_TERMS</v>
      </c>
      <c r="B30" s="0" t="str">
        <f aca="false">CalcInputs!B30</f>
        <v>VG-015</v>
      </c>
      <c r="C30" s="4" t="n">
        <f aca="false">CalcInputs!E30*CalcInputs!F30</f>
        <v>1704000</v>
      </c>
      <c r="D30" s="4" t="n">
        <f aca="false">CalcInputs!H30</f>
        <v>1686268.24041343</v>
      </c>
      <c r="E30" s="4" t="n">
        <f aca="false">CalcInputs!G30</f>
        <v>2116.42</v>
      </c>
      <c r="F30" s="4" t="n">
        <f aca="false">D30*E30</f>
        <v>3568851829.3758</v>
      </c>
      <c r="G30" s="4" t="n">
        <f aca="false">CalcInputs!I30</f>
        <v>450000000</v>
      </c>
      <c r="H30" s="4" t="n">
        <f aca="false">F30-G30-CalcInputs!J30</f>
        <v>2530391608.25345</v>
      </c>
      <c r="I30" s="4" t="n">
        <f aca="false">CalcInputs!C30</f>
        <v>26619875000</v>
      </c>
      <c r="J30" s="4" t="n">
        <f aca="false">CalcInputs!D30</f>
        <v>13542106714.2025</v>
      </c>
      <c r="K30" s="4" t="n">
        <f aca="false">I30-J30</f>
        <v>13077768285.7975</v>
      </c>
      <c r="L30" s="4" t="n">
        <f aca="false">-I30+NPV(Assumptions!$B$2,CashFlows!D30:R30)</f>
        <v>-7485584529.59523</v>
      </c>
      <c r="M30" s="3" t="n">
        <f aca="false">IRR(CashFlows!C30:R30)</f>
        <v>0.0648411434113284</v>
      </c>
      <c r="N30" s="4" t="n">
        <f aca="false">-K30+NPV(Assumptions!$B$3,CashFlows!T30:AH30)</f>
        <v>-6688430917.90604</v>
      </c>
      <c r="O30" s="3" t="n">
        <f aca="false">IRR(CashFlows!S30:AH30)</f>
        <v>0.0538047793036246</v>
      </c>
      <c r="P30" s="0" t="str">
        <f aca="false">CalcInputs!P30</f>
        <v>EMPTY_ZONE</v>
      </c>
      <c r="Q30" s="0" t="str">
        <f aca="false">IF(AND(N30&gt;0,J30&gt;=0),"PASS","CHECK")</f>
        <v>CHECK</v>
      </c>
    </row>
    <row r="31" customFormat="false" ht="13.8" hidden="false" customHeight="false" outlineLevel="0" collapsed="false">
      <c r="A31" s="0" t="str">
        <f aca="false">CalcInputs!A31</f>
        <v>NEGOTIATED_TERMS</v>
      </c>
      <c r="B31" s="0" t="str">
        <f aca="false">CalcInputs!B31</f>
        <v>VG-015</v>
      </c>
      <c r="C31" s="4" t="n">
        <f aca="false">CalcInputs!E31*CalcInputs!F31</f>
        <v>1704000</v>
      </c>
      <c r="D31" s="4" t="n">
        <f aca="false">CalcInputs!H31</f>
        <v>1686268.24041343</v>
      </c>
      <c r="E31" s="4" t="n">
        <f aca="false">CalcInputs!G31</f>
        <v>2458.04070668894</v>
      </c>
      <c r="F31" s="4" t="n">
        <f aca="false">D31*E31</f>
        <v>4144915977.33295</v>
      </c>
      <c r="G31" s="4" t="n">
        <f aca="false">CalcInputs!I31</f>
        <v>450000000</v>
      </c>
      <c r="H31" s="4" t="n">
        <f aca="false">F31-G31-CalcInputs!J31</f>
        <v>2878167102.01116</v>
      </c>
      <c r="I31" s="4" t="n">
        <f aca="false">CalcInputs!C31</f>
        <v>21295900000</v>
      </c>
      <c r="J31" s="4" t="n">
        <f aca="false">CalcInputs!D31</f>
        <v>13842335000</v>
      </c>
      <c r="K31" s="4" t="n">
        <f aca="false">I31-J31</f>
        <v>7453565000</v>
      </c>
      <c r="L31" s="4" t="n">
        <f aca="false">-I31+NPV(Assumptions!$B$2,CashFlows!D31:R31)</f>
        <v>595802401.810721</v>
      </c>
      <c r="M31" s="3" t="n">
        <f aca="false">IRR(CashFlows!C31:R31)</f>
        <v>0.125093980046785</v>
      </c>
      <c r="N31" s="4" t="n">
        <f aca="false">-K31+NPV(Assumptions!$B$3,CashFlows!T31:AH31)</f>
        <v>901815019.25997</v>
      </c>
      <c r="O31" s="3" t="n">
        <f aca="false">IRR(CashFlows!S31:AH31)</f>
        <v>0.155762207631635</v>
      </c>
      <c r="P31" s="0" t="str">
        <f aca="false">CalcInputs!P31</f>
        <v>FEASIBLE_ZONE</v>
      </c>
      <c r="Q31" s="0" t="str">
        <f aca="false">IF(AND(N31&gt;0,J31&gt;=0),"PASS","CHECK")</f>
        <v>PASS</v>
      </c>
    </row>
    <row r="32" customFormat="false" ht="13.8" hidden="false" customHeight="false" outlineLevel="0" collapsed="false">
      <c r="A32" s="0" t="str">
        <f aca="false">CalcInputs!A32</f>
        <v>CURRENT_TERMS</v>
      </c>
      <c r="B32" s="0" t="str">
        <f aca="false">CalcInputs!B32</f>
        <v>VG-016</v>
      </c>
      <c r="C32" s="4" t="n">
        <f aca="false">CalcInputs!E32*CalcInputs!F32</f>
        <v>1420000</v>
      </c>
      <c r="D32" s="4" t="n">
        <f aca="false">CalcInputs!H32</f>
        <v>1420000</v>
      </c>
      <c r="E32" s="4" t="n">
        <f aca="false">CalcInputs!G32</f>
        <v>2270.7</v>
      </c>
      <c r="F32" s="4" t="n">
        <f aca="false">D32*E32</f>
        <v>3224394000</v>
      </c>
      <c r="G32" s="4" t="n">
        <f aca="false">CalcInputs!I32</f>
        <v>375000000</v>
      </c>
      <c r="H32" s="4" t="n">
        <f aca="false">F32-G32-CalcInputs!J32</f>
        <v>2288363541.81746</v>
      </c>
      <c r="I32" s="4" t="n">
        <f aca="false">CalcInputs!C32</f>
        <v>22183229166.6667</v>
      </c>
      <c r="J32" s="4" t="n">
        <f aca="false">CalcInputs!D32</f>
        <v>10612774338.3779</v>
      </c>
      <c r="K32" s="4" t="n">
        <f aca="false">I32-J32</f>
        <v>11570454828.2887</v>
      </c>
      <c r="L32" s="4" t="n">
        <f aca="false">-I32+NPV(Assumptions!$B$2,CashFlows!D32:R32)</f>
        <v>-9603940389.75798</v>
      </c>
      <c r="M32" s="3" t="n">
        <f aca="false">IRR(CashFlows!C32:R32)</f>
        <v>-0.0166779785504139</v>
      </c>
      <c r="N32" s="4" t="n">
        <f aca="false">-K32+NPV(Assumptions!$B$3,CashFlows!T32:AH32)</f>
        <v>-8593002920.97892</v>
      </c>
      <c r="O32" s="3" t="n">
        <f aca="false">IRR(CashFlows!S32:AH32)</f>
        <v>-0.124490495841944</v>
      </c>
      <c r="P32" s="0" t="str">
        <f aca="false">CalcInputs!P32</f>
        <v>EMPTY_ZONE</v>
      </c>
      <c r="Q32" s="0" t="str">
        <f aca="false">IF(AND(N32&gt;0,J32&gt;=0),"PASS","CHECK")</f>
        <v>CHECK</v>
      </c>
    </row>
    <row r="33" customFormat="false" ht="13.8" hidden="false" customHeight="false" outlineLevel="0" collapsed="false">
      <c r="A33" s="0" t="str">
        <f aca="false">CalcInputs!A33</f>
        <v>NEGOTIATED_TERMS</v>
      </c>
      <c r="B33" s="0" t="str">
        <f aca="false">CalcInputs!B33</f>
        <v>VG-016</v>
      </c>
      <c r="C33" s="4" t="n">
        <f aca="false">CalcInputs!E33*CalcInputs!F33</f>
        <v>1420000</v>
      </c>
      <c r="D33" s="4" t="n">
        <f aca="false">CalcInputs!H33</f>
        <v>1420000</v>
      </c>
      <c r="E33" s="4" t="n">
        <f aca="false">CalcInputs!G33</f>
        <v>2416.8913222297</v>
      </c>
      <c r="F33" s="4" t="n">
        <f aca="false">D33*E33</f>
        <v>3431985677.56618</v>
      </c>
      <c r="G33" s="4" t="n">
        <f aca="false">CalcInputs!I33</f>
        <v>375000000</v>
      </c>
      <c r="H33" s="4" t="n">
        <f aca="false">F33-G33-CalcInputs!J33</f>
        <v>2382601148.85764</v>
      </c>
      <c r="I33" s="4" t="n">
        <f aca="false">CalcInputs!C33</f>
        <v>17746583333.3333</v>
      </c>
      <c r="J33" s="4" t="n">
        <f aca="false">CalcInputs!D33</f>
        <v>11535279166.6667</v>
      </c>
      <c r="K33" s="4" t="n">
        <f aca="false">I33-J33</f>
        <v>6211304166.66667</v>
      </c>
      <c r="L33" s="4" t="n">
        <f aca="false">-I33+NPV(Assumptions!$B$2,CashFlows!D33:R33)</f>
        <v>374323513.342234</v>
      </c>
      <c r="M33" s="3" t="n">
        <f aca="false">IRR(CashFlows!C33:R33)</f>
        <v>0.123845715838427</v>
      </c>
      <c r="N33" s="4" t="n">
        <f aca="false">-K33+NPV(Assumptions!$B$3,CashFlows!T33:AH33)</f>
        <v>655343041.198211</v>
      </c>
      <c r="O33" s="3" t="n">
        <f aca="false">IRR(CashFlows!S33:AH33)</f>
        <v>0.153813272571581</v>
      </c>
      <c r="P33" s="0" t="str">
        <f aca="false">CalcInputs!P33</f>
        <v>FEASIBLE_ZONE</v>
      </c>
      <c r="Q33" s="0" t="str">
        <f aca="false">IF(AND(N33&gt;0,J33&gt;=0),"PASS","CHECK")</f>
        <v>PASS</v>
      </c>
    </row>
    <row r="34" customFormat="false" ht="13.8" hidden="false" customHeight="false" outlineLevel="0" collapsed="false">
      <c r="A34" s="0" t="str">
        <f aca="false">CalcInputs!A34</f>
        <v>CURRENT_TERMS</v>
      </c>
      <c r="B34" s="0" t="str">
        <f aca="false">CalcInputs!B34</f>
        <v>VG-017</v>
      </c>
      <c r="C34" s="4" t="n">
        <f aca="false">CalcInputs!E34*CalcInputs!F34</f>
        <v>1584000</v>
      </c>
      <c r="D34" s="4" t="n">
        <f aca="false">CalcInputs!H34</f>
        <v>1584000</v>
      </c>
      <c r="E34" s="4" t="n">
        <f aca="false">CalcInputs!G34</f>
        <v>2244.6</v>
      </c>
      <c r="F34" s="4" t="n">
        <f aca="false">D34*E34</f>
        <v>3555446400</v>
      </c>
      <c r="G34" s="4" t="n">
        <f aca="false">CalcInputs!I34</f>
        <v>450000000</v>
      </c>
      <c r="H34" s="4" t="n">
        <f aca="false">F34-G34-CalcInputs!J34</f>
        <v>2520769080.86589</v>
      </c>
      <c r="I34" s="4" t="n">
        <f aca="false">CalcInputs!C34</f>
        <v>26619875000</v>
      </c>
      <c r="J34" s="4" t="n">
        <f aca="false">CalcInputs!D34</f>
        <v>13489757596.9047</v>
      </c>
      <c r="K34" s="4" t="n">
        <f aca="false">I34-J34</f>
        <v>13130117403.0953</v>
      </c>
      <c r="L34" s="4" t="n">
        <f aca="false">-I34+NPV(Assumptions!$B$2,CashFlows!D34:R34)</f>
        <v>-7559658850.11171</v>
      </c>
      <c r="M34" s="3" t="n">
        <f aca="false">IRR(CashFlows!C34:R34)</f>
        <v>0.0642486740879066</v>
      </c>
      <c r="N34" s="4" t="n">
        <f aca="false">-K34+NPV(Assumptions!$B$3,CashFlows!T34:AH34)</f>
        <v>-6765595813.94039</v>
      </c>
      <c r="O34" s="3" t="n">
        <f aca="false">IRR(CashFlows!S34:AH34)</f>
        <v>0.0529618880571253</v>
      </c>
      <c r="P34" s="0" t="str">
        <f aca="false">CalcInputs!P34</f>
        <v>EMPTY_ZONE</v>
      </c>
      <c r="Q34" s="0" t="str">
        <f aca="false">IF(AND(N34&gt;0,J34&gt;=0),"PASS","CHECK")</f>
        <v>CHECK</v>
      </c>
    </row>
    <row r="35" customFormat="false" ht="13.8" hidden="false" customHeight="false" outlineLevel="0" collapsed="false">
      <c r="A35" s="0" t="str">
        <f aca="false">CalcInputs!A35</f>
        <v>NEGOTIATED_TERMS</v>
      </c>
      <c r="B35" s="0" t="str">
        <f aca="false">CalcInputs!B35</f>
        <v>VG-017</v>
      </c>
      <c r="C35" s="4" t="n">
        <f aca="false">CalcInputs!E35*CalcInputs!F35</f>
        <v>1584000</v>
      </c>
      <c r="D35" s="4" t="n">
        <f aca="false">CalcInputs!H35</f>
        <v>1584000</v>
      </c>
      <c r="E35" s="4" t="n">
        <f aca="false">CalcInputs!G35</f>
        <v>2489.92096785317</v>
      </c>
      <c r="F35" s="4" t="n">
        <f aca="false">D35*E35</f>
        <v>3944034813.07941</v>
      </c>
      <c r="G35" s="4" t="n">
        <f aca="false">CalcInputs!I35</f>
        <v>450000000</v>
      </c>
      <c r="H35" s="4" t="n">
        <f aca="false">F35-G35-CalcInputs!J35</f>
        <v>2733972951.23191</v>
      </c>
      <c r="I35" s="4" t="n">
        <f aca="false">CalcInputs!C35</f>
        <v>21295900000</v>
      </c>
      <c r="J35" s="4" t="n">
        <f aca="false">CalcInputs!D35</f>
        <v>13842335000</v>
      </c>
      <c r="K35" s="4" t="n">
        <f aca="false">I35-J35</f>
        <v>7453565000</v>
      </c>
      <c r="L35" s="4" t="n">
        <f aca="false">-I35+NPV(Assumptions!$B$2,CashFlows!D35:R35)</f>
        <v>-514205739.629409</v>
      </c>
      <c r="M35" s="3" t="n">
        <f aca="false">IRR(CashFlows!C35:R35)</f>
        <v>0.115556613278706</v>
      </c>
      <c r="N35" s="4" t="n">
        <f aca="false">-K35+NPV(Assumptions!$B$3,CashFlows!T35:AH35)</f>
        <v>28102292.5332213</v>
      </c>
      <c r="O35" s="3" t="n">
        <f aca="false">IRR(CashFlows!S35:AH35)</f>
        <v>0.140510514732061</v>
      </c>
      <c r="P35" s="0" t="str">
        <f aca="false">CalcInputs!P35</f>
        <v>FEASIBLE_ZONE</v>
      </c>
      <c r="Q35" s="0" t="str">
        <f aca="false">IF(AND(N35&gt;0,J35&gt;=0),"PASS","CHECK")</f>
        <v>PASS</v>
      </c>
    </row>
    <row r="36" customFormat="false" ht="13.8" hidden="false" customHeight="false" outlineLevel="0" collapsed="false">
      <c r="A36" s="0" t="str">
        <f aca="false">CalcInputs!A36</f>
        <v>CURRENT_TERMS</v>
      </c>
      <c r="B36" s="0" t="str">
        <f aca="false">CalcInputs!B36</f>
        <v>VG-018</v>
      </c>
      <c r="C36" s="4" t="n">
        <f aca="false">CalcInputs!E36*CalcInputs!F36</f>
        <v>1518000</v>
      </c>
      <c r="D36" s="4" t="n">
        <f aca="false">CalcInputs!H36</f>
        <v>1518000</v>
      </c>
      <c r="E36" s="4" t="n">
        <f aca="false">CalcInputs!G36</f>
        <v>2104.53</v>
      </c>
      <c r="F36" s="4" t="n">
        <f aca="false">D36*E36</f>
        <v>3194676540</v>
      </c>
      <c r="G36" s="4" t="n">
        <f aca="false">CalcInputs!I36</f>
        <v>431250000</v>
      </c>
      <c r="H36" s="4" t="n">
        <f aca="false">F36-G36-CalcInputs!J36</f>
        <v>2263112158.78871</v>
      </c>
      <c r="I36" s="4" t="n">
        <f aca="false">CalcInputs!C36</f>
        <v>25510713541.6667</v>
      </c>
      <c r="J36" s="4" t="n">
        <f aca="false">CalcInputs!D36</f>
        <v>12097364296.1146</v>
      </c>
      <c r="K36" s="4" t="n">
        <f aca="false">I36-J36</f>
        <v>13413349245.552</v>
      </c>
      <c r="L36" s="4" t="n">
        <f aca="false">-I36+NPV(Assumptions!$B$2,CashFlows!D36:R36)</f>
        <v>-8419581028.61517</v>
      </c>
      <c r="M36" s="3" t="n">
        <f aca="false">IRR(CashFlows!C36:R36)</f>
        <v>0.0542673492909626</v>
      </c>
      <c r="N36" s="4" t="n">
        <f aca="false">-K36+NPV(Assumptions!$B$3,CashFlows!T36:AH36)</f>
        <v>-7707624203.34755</v>
      </c>
      <c r="O36" s="3" t="n">
        <f aca="false">IRR(CashFlows!S36:AH36)</f>
        <v>0.0392641127252641</v>
      </c>
      <c r="P36" s="0" t="str">
        <f aca="false">CalcInputs!P36</f>
        <v>EMPTY_ZONE</v>
      </c>
      <c r="Q36" s="0" t="str">
        <f aca="false">IF(AND(N36&gt;0,J36&gt;=0),"PASS","CHECK")</f>
        <v>CHECK</v>
      </c>
    </row>
    <row r="37" customFormat="false" ht="13.8" hidden="false" customHeight="false" outlineLevel="0" collapsed="false">
      <c r="A37" s="0" t="str">
        <f aca="false">CalcInputs!A37</f>
        <v>NEGOTIATED_TERMS</v>
      </c>
      <c r="B37" s="0" t="str">
        <f aca="false">CalcInputs!B37</f>
        <v>VG-018</v>
      </c>
      <c r="C37" s="4" t="n">
        <f aca="false">CalcInputs!E37*CalcInputs!F37</f>
        <v>1518000</v>
      </c>
      <c r="D37" s="4" t="n">
        <f aca="false">CalcInputs!H37</f>
        <v>1518000</v>
      </c>
      <c r="E37" s="4" t="n">
        <f aca="false">CalcInputs!G37</f>
        <v>2526.17096785317</v>
      </c>
      <c r="F37" s="4" t="n">
        <f aca="false">D37*E37</f>
        <v>3834727529.20111</v>
      </c>
      <c r="G37" s="4" t="n">
        <f aca="false">CalcInputs!I37</f>
        <v>431250000</v>
      </c>
      <c r="H37" s="4" t="n">
        <f aca="false">F37-G37-CalcInputs!J37</f>
        <v>2659556603.37807</v>
      </c>
      <c r="I37" s="4" t="n">
        <f aca="false">CalcInputs!C37</f>
        <v>20408570833.3333</v>
      </c>
      <c r="J37" s="4" t="n">
        <f aca="false">CalcInputs!D37</f>
        <v>13265571041.6667</v>
      </c>
      <c r="K37" s="4" t="n">
        <f aca="false">I37-J37</f>
        <v>7142999791.66667</v>
      </c>
      <c r="L37" s="4" t="n">
        <f aca="false">-I37+NPV(Assumptions!$B$2,CashFlows!D37:R37)</f>
        <v>-188715292.423107</v>
      </c>
      <c r="M37" s="3" t="n">
        <f aca="false">IRR(CashFlows!C37:R37)</f>
        <v>0.118303647077321</v>
      </c>
      <c r="N37" s="4" t="n">
        <f aca="false">-K37+NPV(Assumptions!$B$3,CashFlows!T37:AH37)</f>
        <v>266268024.477169</v>
      </c>
      <c r="O37" s="3" t="n">
        <f aca="false">IRR(CashFlows!S37:AH37)</f>
        <v>0.144990604257733</v>
      </c>
      <c r="P37" s="0" t="str">
        <f aca="false">CalcInputs!P37</f>
        <v>FEASIBLE_ZONE</v>
      </c>
      <c r="Q37" s="0" t="str">
        <f aca="false">IF(AND(N37&gt;0,J37&gt;=0),"PASS","CHECK")</f>
        <v>PASS</v>
      </c>
    </row>
    <row r="38" customFormat="false" ht="13.8" hidden="false" customHeight="false" outlineLevel="0" collapsed="false">
      <c r="A38" s="0" t="str">
        <f aca="false">CalcInputs!A38</f>
        <v>CURRENT_TERMS</v>
      </c>
      <c r="B38" s="0" t="str">
        <f aca="false">CalcInputs!B38</f>
        <v>VG-019</v>
      </c>
      <c r="C38" s="4" t="n">
        <f aca="false">CalcInputs!E38*CalcInputs!F38</f>
        <v>1386000</v>
      </c>
      <c r="D38" s="4" t="n">
        <f aca="false">CalcInputs!H38</f>
        <v>1386000</v>
      </c>
      <c r="E38" s="4" t="n">
        <f aca="false">CalcInputs!G38</f>
        <v>2257.65</v>
      </c>
      <c r="F38" s="4" t="n">
        <f aca="false">D38*E38</f>
        <v>3129102900</v>
      </c>
      <c r="G38" s="4" t="n">
        <f aca="false">CalcInputs!I38</f>
        <v>393750000</v>
      </c>
      <c r="H38" s="4" t="n">
        <f aca="false">F38-G38-CalcInputs!J38</f>
        <v>2218656158.36039</v>
      </c>
      <c r="I38" s="4" t="n">
        <f aca="false">CalcInputs!C38</f>
        <v>23292390625</v>
      </c>
      <c r="J38" s="4" t="n">
        <f aca="false">CalcInputs!D38</f>
        <v>11874170039.1467</v>
      </c>
      <c r="K38" s="4" t="n">
        <f aca="false">I38-J38</f>
        <v>11418220585.8533</v>
      </c>
      <c r="L38" s="4" t="n">
        <f aca="false">-I38+NPV(Assumptions!$B$2,CashFlows!D38:R38)</f>
        <v>-6514756581.98269</v>
      </c>
      <c r="M38" s="3" t="n">
        <f aca="false">IRR(CashFlows!C38:R38)</f>
        <v>0.0651617821432505</v>
      </c>
      <c r="N38" s="4" t="n">
        <f aca="false">-K38+NPV(Assumptions!$B$3,CashFlows!T38:AH38)</f>
        <v>-5815781460.68657</v>
      </c>
      <c r="O38" s="3" t="n">
        <f aca="false">IRR(CashFlows!S38:AH38)</f>
        <v>0.0542624491793954</v>
      </c>
      <c r="P38" s="0" t="str">
        <f aca="false">CalcInputs!P38</f>
        <v>EMPTY_ZONE</v>
      </c>
      <c r="Q38" s="0" t="str">
        <f aca="false">IF(AND(N38&gt;0,J38&gt;=0),"PASS","CHECK")</f>
        <v>CHECK</v>
      </c>
    </row>
    <row r="39" customFormat="false" ht="13.8" hidden="false" customHeight="false" outlineLevel="0" collapsed="false">
      <c r="A39" s="0" t="str">
        <f aca="false">CalcInputs!A39</f>
        <v>NEGOTIATED_TERMS</v>
      </c>
      <c r="B39" s="0" t="str">
        <f aca="false">CalcInputs!B39</f>
        <v>VG-019</v>
      </c>
      <c r="C39" s="4" t="n">
        <f aca="false">CalcInputs!E39*CalcInputs!F39</f>
        <v>1386000</v>
      </c>
      <c r="D39" s="4" t="n">
        <f aca="false">CalcInputs!H39</f>
        <v>1386000</v>
      </c>
      <c r="E39" s="4" t="n">
        <f aca="false">CalcInputs!G39</f>
        <v>2497.17096785317</v>
      </c>
      <c r="F39" s="4" t="n">
        <f aca="false">D39*E39</f>
        <v>3461078961.44449</v>
      </c>
      <c r="G39" s="4" t="n">
        <f aca="false">CalcInputs!I39</f>
        <v>393750000</v>
      </c>
      <c r="H39" s="4" t="n">
        <f aca="false">F39-G39-CalcInputs!J39</f>
        <v>2399439228.21833</v>
      </c>
      <c r="I39" s="4" t="n">
        <f aca="false">CalcInputs!C39</f>
        <v>18633912500</v>
      </c>
      <c r="J39" s="4" t="n">
        <f aca="false">CalcInputs!D39</f>
        <v>12112043125</v>
      </c>
      <c r="K39" s="4" t="n">
        <f aca="false">I39-J39</f>
        <v>6521869375</v>
      </c>
      <c r="L39" s="4" t="n">
        <f aca="false">-I39+NPV(Assumptions!$B$2,CashFlows!D39:R39)</f>
        <v>-394405071.139576</v>
      </c>
      <c r="M39" s="3" t="n">
        <f aca="false">IRR(CashFlows!C39:R39)</f>
        <v>0.116107403986949</v>
      </c>
      <c r="N39" s="4" t="n">
        <f aca="false">-K39+NPV(Assumptions!$B$3,CashFlows!T39:AH39)</f>
        <v>68294461.4169205</v>
      </c>
      <c r="O39" s="3" t="n">
        <f aca="false">IRR(CashFlows!S39:AH39)</f>
        <v>0.141414661755767</v>
      </c>
      <c r="P39" s="0" t="str">
        <f aca="false">CalcInputs!P39</f>
        <v>FEASIBLE_ZONE</v>
      </c>
      <c r="Q39" s="0" t="str">
        <f aca="false">IF(AND(N39&gt;0,J39&gt;=0),"PASS","CHECK")</f>
        <v>PASS</v>
      </c>
    </row>
    <row r="40" customFormat="false" ht="13.8" hidden="false" customHeight="false" outlineLevel="0" collapsed="false">
      <c r="A40" s="0" t="str">
        <f aca="false">CalcInputs!A40</f>
        <v>CURRENT_TERMS</v>
      </c>
      <c r="B40" s="0" t="str">
        <f aca="false">CalcInputs!B40</f>
        <v>VG-020</v>
      </c>
      <c r="C40" s="4" t="n">
        <f aca="false">CalcInputs!E40*CalcInputs!F40</f>
        <v>1491000</v>
      </c>
      <c r="D40" s="4" t="n">
        <f aca="false">CalcInputs!H40</f>
        <v>1491000</v>
      </c>
      <c r="E40" s="4" t="n">
        <f aca="false">CalcInputs!G40</f>
        <v>2116.42</v>
      </c>
      <c r="F40" s="4" t="n">
        <f aca="false">D40*E40</f>
        <v>3155582220</v>
      </c>
      <c r="G40" s="4" t="n">
        <f aca="false">CalcInputs!I40</f>
        <v>393750000</v>
      </c>
      <c r="H40" s="4" t="n">
        <f aca="false">F40-G40-CalcInputs!J40</f>
        <v>2237663231.89464</v>
      </c>
      <c r="I40" s="4" t="n">
        <f aca="false">CalcInputs!C40</f>
        <v>23292390625</v>
      </c>
      <c r="J40" s="4" t="n">
        <f aca="false">CalcInputs!D40</f>
        <v>11977573592.2733</v>
      </c>
      <c r="K40" s="4" t="n">
        <f aca="false">I40-J40</f>
        <v>11314817032.7267</v>
      </c>
      <c r="L40" s="4" t="n">
        <f aca="false">-I40+NPV(Assumptions!$B$2,CashFlows!D40:R40)</f>
        <v>-6368439923.13108</v>
      </c>
      <c r="M40" s="3" t="n">
        <f aca="false">IRR(CashFlows!C40:R40)</f>
        <v>0.0664936486800986</v>
      </c>
      <c r="N40" s="4" t="n">
        <f aca="false">-K40+NPV(Assumptions!$B$3,CashFlows!T40:AH40)</f>
        <v>-5663360085.9152</v>
      </c>
      <c r="O40" s="3" t="n">
        <f aca="false">IRR(CashFlows!S40:AH40)</f>
        <v>0.056175017588194</v>
      </c>
      <c r="P40" s="0" t="str">
        <f aca="false">CalcInputs!P40</f>
        <v>EMPTY_ZONE</v>
      </c>
      <c r="Q40" s="0" t="str">
        <f aca="false">IF(AND(N40&gt;0,J40&gt;=0),"PASS","CHECK")</f>
        <v>CHECK</v>
      </c>
    </row>
    <row r="41" customFormat="false" ht="13.8" hidden="false" customHeight="false" outlineLevel="0" collapsed="false">
      <c r="A41" s="0" t="str">
        <f aca="false">CalcInputs!A41</f>
        <v>NEGOTIATED_TERMS</v>
      </c>
      <c r="B41" s="0" t="str">
        <f aca="false">CalcInputs!B41</f>
        <v>VG-020</v>
      </c>
      <c r="C41" s="4" t="n">
        <f aca="false">CalcInputs!E41*CalcInputs!F41</f>
        <v>1491000</v>
      </c>
      <c r="D41" s="4" t="n">
        <f aca="false">CalcInputs!H41</f>
        <v>1491000</v>
      </c>
      <c r="E41" s="4" t="n">
        <f aca="false">CalcInputs!G41</f>
        <v>2445.8913222297</v>
      </c>
      <c r="F41" s="4" t="n">
        <f aca="false">D41*E41</f>
        <v>3646823961.44449</v>
      </c>
      <c r="G41" s="4" t="n">
        <f aca="false">CalcInputs!I41</f>
        <v>393750000</v>
      </c>
      <c r="H41" s="4" t="n">
        <f aca="false">F41-G41-CalcInputs!J41</f>
        <v>2532768515.88956</v>
      </c>
      <c r="I41" s="4" t="n">
        <f aca="false">CalcInputs!C41</f>
        <v>18633912500</v>
      </c>
      <c r="J41" s="4" t="n">
        <f aca="false">CalcInputs!D41</f>
        <v>12112043125</v>
      </c>
      <c r="K41" s="4" t="n">
        <f aca="false">I41-J41</f>
        <v>6521869375</v>
      </c>
      <c r="L41" s="4" t="n">
        <f aca="false">-I41+NPV(Assumptions!$B$2,CashFlows!D41:R41)</f>
        <v>631965235.892133</v>
      </c>
      <c r="M41" s="3" t="n">
        <f aca="false">IRR(CashFlows!C41:R41)</f>
        <v>0.126167823045989</v>
      </c>
      <c r="N41" s="4" t="n">
        <f aca="false">-K41+NPV(Assumptions!$B$3,CashFlows!T41:AH41)</f>
        <v>876822566.266868</v>
      </c>
      <c r="O41" s="3" t="n">
        <f aca="false">IRR(CashFlows!S41:AH41)</f>
        <v>0.157444131016051</v>
      </c>
      <c r="P41" s="0" t="str">
        <f aca="false">CalcInputs!P41</f>
        <v>FEASIBLE_ZONE</v>
      </c>
      <c r="Q41" s="0" t="str">
        <f aca="false">IF(AND(N41&gt;0,J41&gt;=0),"PASS","CHECK")</f>
        <v>PASS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3.8" hidden="false" customHeight="false" outlineLevel="0" collapsed="false">
      <c r="A1" s="2" t="s">
        <v>106</v>
      </c>
      <c r="B1" s="2" t="s">
        <v>107</v>
      </c>
      <c r="C1" s="2" t="s">
        <v>100</v>
      </c>
      <c r="D1" s="2" t="s">
        <v>102</v>
      </c>
      <c r="E1" s="2" t="s">
        <v>108</v>
      </c>
      <c r="F1" s="2" t="s">
        <v>109</v>
      </c>
    </row>
    <row r="2" customFormat="false" ht="13.8" hidden="false" customHeight="false" outlineLevel="0" collapsed="false">
      <c r="A2" s="0" t="s">
        <v>20</v>
      </c>
      <c r="B2" s="4" t="n">
        <v>4</v>
      </c>
      <c r="C2" s="4" t="n">
        <v>5262392521.35908</v>
      </c>
      <c r="D2" s="4" t="n">
        <v>5942276842.63872</v>
      </c>
      <c r="E2" s="4" t="n">
        <v>1.3</v>
      </c>
      <c r="F2" s="0" t="str">
        <f aca="false">IF(A2=Assumptions!$B$7,"ACTIVE","AVAILABLE")</f>
        <v>ACTIVE</v>
      </c>
    </row>
    <row r="3" customFormat="false" ht="13.8" hidden="false" customHeight="false" outlineLevel="0" collapsed="false">
      <c r="A3" s="0" t="s">
        <v>110</v>
      </c>
      <c r="B3" s="4" t="n">
        <v>4</v>
      </c>
      <c r="C3" s="4" t="n">
        <v>-3729684736.91324</v>
      </c>
      <c r="D3" s="4" t="n">
        <v>-1177896107.1417</v>
      </c>
      <c r="E3" s="4" t="n">
        <v>1.3</v>
      </c>
      <c r="F3" s="0" t="str">
        <f aca="false">IF(A3=Assumptions!$B$7,"ACTIVE","AVAILABLE")</f>
        <v>AVAILABLE</v>
      </c>
    </row>
    <row r="4" customFormat="false" ht="13.8" hidden="false" customHeight="false" outlineLevel="0" collapsed="false">
      <c r="A4" s="0" t="s">
        <v>111</v>
      </c>
      <c r="B4" s="4" t="n">
        <v>4</v>
      </c>
      <c r="C4" s="4" t="n">
        <v>-6615819769.55431</v>
      </c>
      <c r="D4" s="4" t="n">
        <v>-3179159627.94487</v>
      </c>
      <c r="E4" s="4" t="n">
        <v>1.3</v>
      </c>
      <c r="F4" s="0" t="str">
        <f aca="false">IF(A4=Assumptions!$B$7,"ACTIVE","AVAILABLE")</f>
        <v>AVAILABLE</v>
      </c>
    </row>
    <row r="5" customFormat="false" ht="13.8" hidden="false" customHeight="false" outlineLevel="0" collapsed="false">
      <c r="A5" s="0" t="s">
        <v>112</v>
      </c>
      <c r="B5" s="4" t="n">
        <v>4</v>
      </c>
      <c r="C5" s="4" t="n">
        <v>-7045210862.91022</v>
      </c>
      <c r="D5" s="4" t="n">
        <v>-4792392826.00538</v>
      </c>
      <c r="E5" s="4" t="n">
        <v>0</v>
      </c>
      <c r="F5" s="0" t="str">
        <f aca="false">IF(A5=Assumptions!$B$7,"ACTIVE","AVAILABLE")</f>
        <v>AVAILABLE</v>
      </c>
    </row>
    <row r="6" customFormat="false" ht="13.8" hidden="false" customHeight="false" outlineLevel="0" collapsed="false">
      <c r="A6" s="0" t="s">
        <v>113</v>
      </c>
      <c r="B6" s="4" t="n">
        <v>4</v>
      </c>
      <c r="C6" s="4" t="n">
        <v>5262392521.35908</v>
      </c>
      <c r="D6" s="4" t="n">
        <v>2104725495.66759</v>
      </c>
      <c r="E6" s="4" t="n">
        <v>1.3</v>
      </c>
      <c r="F6" s="0" t="str">
        <f aca="false">IF(A6=Assumptions!$B$7,"ACTIVE","AVAILABLE")</f>
        <v>AVAILABLE</v>
      </c>
    </row>
    <row r="7" customFormat="false" ht="13.8" hidden="false" customHeight="false" outlineLevel="0" collapsed="false">
      <c r="A7" s="0" t="s">
        <v>114</v>
      </c>
      <c r="B7" s="4" t="n">
        <v>4</v>
      </c>
      <c r="C7" s="4" t="n">
        <v>3198420300.8211</v>
      </c>
      <c r="D7" s="4" t="n">
        <v>4394423089.02063</v>
      </c>
      <c r="E7" s="4" t="n">
        <v>1.3</v>
      </c>
      <c r="F7" s="0" t="str">
        <f aca="false">IF(A7=Assumptions!$B$7,"ACTIVE","AVAILABLE")</f>
        <v>AVAILABLE</v>
      </c>
    </row>
    <row r="8" customFormat="false" ht="13.8" hidden="false" customHeight="false" outlineLevel="0" collapsed="false">
      <c r="A8" s="0" t="s">
        <v>115</v>
      </c>
      <c r="B8" s="4" t="n">
        <v>4</v>
      </c>
      <c r="C8" s="4" t="n">
        <v>-35956990048.2791</v>
      </c>
      <c r="D8" s="4" t="n">
        <v>-38814455857.2802</v>
      </c>
      <c r="E8" s="4" t="n">
        <v>0</v>
      </c>
      <c r="F8" s="0" t="str">
        <f aca="false">IF(A8=Assumptions!$B$7,"ACTIVE","AVAILABLE")</f>
        <v>AVAILABLE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7.35" hidden="false" customHeight="false" outlineLevel="0" collapsed="false">
      <c r="A1" s="1" t="s">
        <v>116</v>
      </c>
    </row>
    <row r="2" customFormat="false" ht="13.8" hidden="false" customHeight="false" outlineLevel="0" collapsed="false">
      <c r="A2" s="2" t="s">
        <v>117</v>
      </c>
    </row>
    <row r="3" customFormat="false" ht="13.8" hidden="false" customHeight="false" outlineLevel="0" collapsed="false">
      <c r="A3" s="2" t="s">
        <v>118</v>
      </c>
      <c r="B3" s="0" t="str">
        <f aca="false">Assumptions!B6</f>
        <v>NEGOTIATED_TERMS</v>
      </c>
    </row>
    <row r="4" customFormat="false" ht="13.8" hidden="false" customHeight="false" outlineLevel="0" collapsed="false">
      <c r="A4" s="2" t="s">
        <v>119</v>
      </c>
      <c r="B4" s="0" t="str">
        <f aca="false">Assumptions!B7</f>
        <v>BASE_SPONSOR</v>
      </c>
    </row>
    <row r="5" customFormat="false" ht="13.8" hidden="false" customHeight="false" outlineLevel="0" collapsed="false"/>
    <row r="6" customFormat="false" ht="13.8" hidden="false" customHeight="false" outlineLevel="0" collapsed="false">
      <c r="A6" s="2" t="s">
        <v>120</v>
      </c>
      <c r="B6" s="4" t="n">
        <f aca="false">SUMIF(Returns!$A$2:$A$41,"CURRENT_TERMS",Returns!$N$2:$N$41)</f>
        <v>-133785992729.353</v>
      </c>
    </row>
    <row r="7" customFormat="false" ht="13.8" hidden="false" customHeight="false" outlineLevel="0" collapsed="false">
      <c r="A7" s="2" t="s">
        <v>121</v>
      </c>
      <c r="B7" s="4" t="n">
        <f aca="false">SUMIF(Returns!$A$2:$A$41,"NEGOTIATED_TERMS",Returns!$N$2:$N$41)</f>
        <v>15835730077.5225</v>
      </c>
    </row>
    <row r="8" customFormat="false" ht="13.8" hidden="false" customHeight="false" outlineLevel="0" collapsed="false">
      <c r="A8" s="2" t="s">
        <v>122</v>
      </c>
      <c r="B8" s="0" t="str">
        <f aca="false">IF(COUNTIF(Returns!$Q$2:$Q$41,"CHECK")=0,"PASS","CHECK")</f>
        <v>CHECK</v>
      </c>
    </row>
    <row r="9" customFormat="false" ht="13.8" hidden="false" customHeight="false" outlineLevel="0" collapsed="false">
      <c r="A9" s="2" t="s">
        <v>123</v>
      </c>
      <c r="B9" s="0" t="s">
        <v>124</v>
      </c>
    </row>
    <row r="10" customFormat="false" ht="13.8" hidden="false" customHeight="false" outlineLevel="0" collapsed="false">
      <c r="A10" s="2" t="s">
        <v>125</v>
      </c>
      <c r="B10" s="0" t="str">
        <f aca="false">IF(B6&gt;0,"CURRENT TERMS DEPLOYMENT",IF(B7&gt;0,"NEGOTIATED CANDIDATES","NO_DEPLOYMENT"))</f>
        <v>NEGOTIATED CANDIDATES</v>
      </c>
    </row>
    <row r="11" customFormat="false" ht="13.8" hidden="false" customHeight="false" outlineLevel="0" collapsed="false"/>
    <row r="12" customFormat="false" ht="13.8" hidden="false" customHeight="false" outlineLevel="0" collapsed="false">
      <c r="A12" s="2" t="s">
        <v>23</v>
      </c>
      <c r="B12" s="2" t="s">
        <v>102</v>
      </c>
    </row>
    <row r="13" customFormat="false" ht="13.8" hidden="false" customHeight="false" outlineLevel="0" collapsed="false">
      <c r="A13" s="0" t="s">
        <v>39</v>
      </c>
      <c r="B13" s="4" t="n">
        <f aca="false">B6</f>
        <v>0</v>
      </c>
    </row>
    <row r="14" customFormat="false" ht="13.8" hidden="false" customHeight="false" outlineLevel="0" collapsed="false">
      <c r="A14" s="0" t="s">
        <v>18</v>
      </c>
      <c r="B14" s="4" t="n">
        <f aca="false">B7</f>
        <v>0</v>
      </c>
    </row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