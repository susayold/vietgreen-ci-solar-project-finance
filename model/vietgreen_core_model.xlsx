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Workbook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00_Control" sheetId="1" r:id="rId1"/>
    <sheet name="01_Assumptions" sheetId="2" r:id="rId2"/>
    <sheet name="02_Evidence_Regulatory" sheetId="3" r:id="rId3"/>
    <sheet name="03_Project_Pipeline" sheetId="4" r:id="rId4"/>
    <sheet name="04_Offtakers_Credit_Site" sheetId="5" r:id="rId5"/>
    <sheet name="05_Solar_Energy" sheetId="6" r:id="rId6"/>
    <sheet name="06_Load_PPA" sheetId="7" r:id="rId7"/>
    <sheet name="07_CAPEX_Construction" sheetId="8" r:id="rId8"/>
    <sheet name="08_OPEX" sheetId="9" r:id="rId9"/>
    <sheet name="09_Project_CF_CFADS" sheetId="10" r:id="rId10"/>
    <sheet name="10_Portfolio_CFADS" sheetId="11" r:id="rId11"/>
    <sheet name="11_Debt_Terms" sheetId="12" r:id="rId12"/>
    <sheet name="12_Debt_Sculpting" sheetId="13" r:id="rId13"/>
    <sheet name="13_Reserves_Waterfall" sheetId="14" r:id="rId14"/>
    <sheet name="14_Coverage" sheetId="15" r:id="rId15"/>
    <sheet name="15_Returns_Discount" sheetId="16" r:id="rId16"/>
    <sheet name="16_FX_Financing" sheetId="17" r:id="rId17"/>
    <sheet name="17_Scenarios_Sensitivity" sheetId="18" r:id="rId18"/>
    <sheet name="18_Portfolio" sheetId="19" r:id="rId19"/>
    <sheet name="19_IC_Bankability" sheetId="20" r:id="rId20"/>
    <sheet name="20_External_Validation" sheetId="21" r:id="rId21"/>
    <sheet name="21_QA_Audit" sheetId="22" r:id="rId22"/>
  </sheets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.00;[Red](#,##0.00);-"/>
    <numFmt numFmtId="165" formatCode="0.0%"/>
    <numFmt numFmtId="166" formatCode="0.00x"/>
    <numFmt numFmtId="167" formatCode="#,##0;[Red](#,##0);-"/>
    <numFmt numFmtId="168" formatCode="0.00"/>
  </numFmts>
  <fonts count="8">
    <font>
      <sz val="10"/>
      <name val="Calibri"/>
      <color rgb="FF000000"/>
    </font>
    <font>
      <b/>
      <sz val="16"/>
      <name val="Calibri"/>
      <color rgb="FFFFFFFF"/>
    </font>
    <font>
      <i/>
      <sz val="10"/>
      <name val="Calibri"/>
      <color rgb="FF17365D"/>
    </font>
    <font>
      <b/>
      <sz val="10"/>
      <name val="Calibri"/>
      <color rgb="FFFFFFFF"/>
    </font>
    <font>
      <sz val="10"/>
      <name val="Calibri"/>
      <color rgb="FF0000FF"/>
    </font>
    <font>
      <sz val="10"/>
      <name val="Calibri"/>
      <color rgb="FF008000"/>
    </font>
    <font>
      <b/>
      <sz val="10"/>
      <name val="Calibri"/>
      <color rgb="FF008000"/>
    </font>
    <font>
      <b/>
      <sz val="10"/>
      <name val="Calibri"/>
      <color rgb="FFC00000"/>
    </font>
  </fonts>
  <fills count="9">
    <fill>
      <patternFill patternType="none"/>
    </fill>
    <fill>
      <patternFill patternType="gray125"/>
    </fill>
    <fill>
      <patternFill patternType="solid">
        <fgColor rgb="FF0B1F3A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7F7F7F"/>
        <bgColor indexed="64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5" borderId="1" xfId="0" applyFont="1" applyFill="1" applyBorder="1" applyAlignment="1">
      <alignment horizontal="center"/>
    </xf>
    <xf numFmtId="0" fontId="0" fillId="0" borderId="1" xfId="0" applyBorder="1"/>
    <xf numFmtId="0" fontId="5" fillId="0" borderId="1" xfId="0" applyFont="1" applyBorder="1"/>
    <xf numFmtId="164" fontId="0" fillId="0" borderId="1" xfId="0" applyNumberFormat="1" applyBorder="1"/>
    <xf numFmtId="164" fontId="5" fillId="0" borderId="1" xfId="0" applyNumberFormat="1" applyFont="1" applyBorder="1"/>
    <xf numFmtId="165" fontId="0" fillId="0" borderId="1" xfId="0" applyNumberFormat="1" applyBorder="1"/>
    <xf numFmtId="165" fontId="5" fillId="0" borderId="1" xfId="0" applyNumberFormat="1" applyFont="1" applyBorder="1"/>
    <xf numFmtId="166" fontId="0" fillId="0" borderId="1" xfId="0" applyNumberFormat="1" applyBorder="1"/>
    <xf numFmtId="166" fontId="5" fillId="0" borderId="1" xfId="0" applyNumberFormat="1" applyFont="1" applyBorder="1"/>
    <xf numFmtId="0" fontId="6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3" fillId="8" borderId="1" xfId="0" applyFont="1" applyFill="1" applyBorder="1" applyAlignment="1">
      <alignment vertical="center" wrapText="1"/>
    </xf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7" fontId="0" fillId="0" borderId="1" xfId="0" applyNumberFormat="1" applyBorder="1"/>
    <xf numFmtId="167" fontId="4" fillId="0" borderId="1" xfId="0" applyNumberFormat="1" applyFont="1" applyBorder="1"/>
    <xf numFmtId="164" fontId="6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8" fontId="0" fillId="0" borderId="1" xfId="0" applyNumberFormat="1" applyBorder="1"/>
    <xf numFmtId="168" fontId="5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5" topLeftCell="A6" activePane="bottomLeft" state="frozen"/>
    </sheetView>
  </sheetViews>
  <sheetFormatPr defaultRowHeight="15"/>
  <cols>
    <col min="1" max="1" width="18.00" customWidth="1"/>
    <col min="2" max="2" width="18.00" customWidth="1"/>
    <col min="3" max="3" width="30.00" customWidth="1"/>
    <col min="4" max="4" width="4.00" customWidth="1"/>
    <col min="5" max="5" width="22.00" customWidth="1"/>
    <col min="6" max="6" width="18.00" customWidth="1"/>
    <col min="7" max="7" width="40.00" customWidth="1"/>
    <col min="8" max="8" width="14.00" customWidth="1"/>
    <col min="9" max="9" width="14.00" customWidth="1"/>
    <col min="10" max="10" width="14.00" customWidth="1"/>
    <col min="11" max="11" width="20.00" customWidth="1"/>
    <col min="12" max="12" width="20.00" customWidth="1"/>
  </cols>
  <sheetData>
    <row r="1" ht="24" customHeight="1">
      <c r="A1" s="1" t="inlineStr">
        <is>
          <t xml:space="preserve">VIETGREEN C&amp;I SOLAR — PROJECT FINANCE MODEL</t>
        </is>
      </c>
    </row>
    <row r="2" ht="24" customHeight="1"/>
    <row r="3" ht="20" customHeight="1">
      <c r="A3" s="2" t="inlineStr">
        <is>
          <t xml:space="preserve">Recruiter Review Workbook | Formula-driven | Inputs → Cash Flow → Debt → Coverage → Returns → Risk → Decision</t>
        </is>
      </c>
    </row>
    <row r="4"/>
    <row r="5" ht="21" customHeight="1">
      <c r="A5" s="3" t="inlineStr">
        <is>
          <t xml:space="preserve">Selected Project</t>
        </is>
      </c>
      <c r="B5" s="6" t="inlineStr">
        <is>
          <t xml:space="preserve">VG-001</t>
        </is>
      </c>
      <c r="D5" s="18" t="inlineStr">
        <is>
          <t xml:space="preserve">Blue = hardcodes | Green = cross-sheet links | Black = formulas | Yellow fill = key input / reviewer attention</t>
        </is>
      </c>
    </row>
    <row r="6"/>
    <row r="7" ht="20" customHeight="1">
      <c r="A7" s="3" t="inlineStr">
        <is>
          <t xml:space="preserve">KEY MODEL OUTPUTS — selected project</t>
        </is>
      </c>
    </row>
    <row r="8" ht="19" customHeight="1">
      <c r="A8" s="19" t="inlineStr">
        <is>
          <t xml:space="preserve">Capacity (MWp)</t>
        </is>
      </c>
      <c r="C8" s="19" t="inlineStr">
        <is>
          <t xml:space="preserve">P50 Generation (GWh)</t>
        </is>
      </c>
      <c r="E8" s="19" t="inlineStr">
        <is>
          <t xml:space="preserve">Project Cost (VND bn)</t>
        </is>
      </c>
      <c r="G8" s="19" t="inlineStr">
        <is>
          <t xml:space="preserve">Debt Capacity (VND bn)</t>
        </is>
      </c>
      <c r="I8" s="19" t="inlineStr">
        <is>
          <t xml:space="preserve">Min DSCR (x)</t>
        </is>
      </c>
      <c r="K8" s="19" t="inlineStr">
        <is>
          <t xml:space="preserve">LLCR (x)</t>
        </is>
      </c>
    </row>
    <row r="9" ht="21" customHeight="1">
      <c r="A9" s="25">
        <f>INDEX('18_Portfolio'!$D$2:$D$21,MATCH($B$5,'18_Portfolio'!$A$2:$A$21,0))</f>
        <v>1.4</v>
      </c>
      <c r="C9" s="25">
        <f>INDEX('05_Solar_Energy'!$C$2:$C$21,MATCH($B$5,'05_Solar_Energy'!$A$2:$A$21,0))/1000000</f>
        <v>1.848</v>
      </c>
      <c r="E9" s="25">
        <f>INDEX('07_CAPEX_Construction'!$N$2:$N$999,MATCH($B$5,'07_CAPEX_Construction'!$A$2:$A$999,0))/1000000000</f>
        <v>31.056520833333334</v>
      </c>
      <c r="G9" s="25">
        <f>INDEX('18_Portfolio'!$E$2:$E$21,MATCH($B$5,'18_Portfolio'!$A$2:$A$21,0))</f>
        <v>14.531088671568387</v>
      </c>
      <c r="I9" s="14">
        <f>INDEX('14_Coverage'!$B$2:$B$21,MATCH($B$5,'14_Coverage'!$A$2:$A$21,0))</f>
        <v>1.3</v>
      </c>
      <c r="K9" s="14">
        <f>INDEX('14_Coverage'!$C$2:$C$21,MATCH($B$5,'14_Coverage'!$A$2:$A$21,0))</f>
        <v>1.35</v>
      </c>
    </row>
    <row r="10"/>
    <row r="11" ht="19" customHeight="1">
      <c r="A11" s="19" t="inlineStr">
        <is>
          <t xml:space="preserve">PLCR (x)</t>
        </is>
      </c>
      <c r="C11" s="19" t="inlineStr">
        <is>
          <t xml:space="preserve">Project NPV (VND bn)</t>
        </is>
      </c>
      <c r="E11" s="19" t="inlineStr">
        <is>
          <t xml:space="preserve">Equity NPV (VND bn)</t>
        </is>
      </c>
      <c r="G11" s="19" t="inlineStr">
        <is>
          <t xml:space="preserve">Leverage Cap</t>
        </is>
      </c>
      <c r="I11" s="19" t="inlineStr">
        <is>
          <t xml:space="preserve">All-in Debt Rate</t>
        </is>
      </c>
      <c r="K11" s="19" t="inlineStr">
        <is>
          <t xml:space="preserve">IC Classification</t>
        </is>
      </c>
    </row>
    <row r="12" ht="21" customHeight="1">
      <c r="A12" s="14">
        <f>INDEX('14_Coverage'!$D$2:$D$21,MATCH($B$5,'14_Coverage'!$A$2:$A$21,0))</f>
        <v>1.729472379385245</v>
      </c>
      <c r="C12" s="26">
        <f>INDEX('15_Returns_Discount'!$E$2:$E$21,MATCH($B$5,'15_Returns_Discount'!$A$2:$A$21,0))/1000000000</f>
        <v>-10.527650509940983</v>
      </c>
      <c r="E12" s="26">
        <f>INDEX('15_Returns_Discount'!$D$2:$D$21,MATCH($B$5,'15_Returns_Discount'!$A$2:$A$21,0))/1000000000</f>
        <v>-9.672364336222435</v>
      </c>
      <c r="G12" s="12">
        <f>INDEX('11_Debt_Terms'!$M$2:$M$21,MATCH($B$5,'11_Debt_Terms'!$B$2:$B$21,0))</f>
        <v>0.65</v>
      </c>
      <c r="I12" s="12">
        <f>INDEX('11_Debt_Terms'!$G$2:$G$21,MATCH($B$5,'11_Debt_Terms'!$B$2:$B$21,0))</f>
        <v>0.085</v>
      </c>
      <c r="K12" s="15" t="str">
        <f>INDEX('19_IC_Bankability'!$I$2:$I$21,MATCH($B$5,'19_IC_Bankability'!$A$2:$A$21,0))</f>
        <v>INVEST_WITH_CONDITIONS</v>
      </c>
    </row>
    <row r="13"/>
    <row r="14"/>
    <row r="15" ht="20" customHeight="1">
      <c r="A15" s="3" t="inlineStr">
        <is>
          <t xml:space="preserve">MODEL ARCHITECTURE</t>
        </is>
      </c>
      <c r="E15" s="3" t="inlineStr">
        <is>
          <t xml:space="preserve">EXCEL SKILLS DEMONSTRATED</t>
        </is>
      </c>
    </row>
    <row r="16" ht="30" customHeight="1">
      <c r="A16" s="0" t="inlineStr">
        <is>
          <t xml:space="preserve">1. Inputs &amp; Evidence</t>
        </is>
      </c>
      <c r="B16" s="8" t="inlineStr">
        <is>
          <t xml:space="preserve">01_Assumptions / 02_Evidence</t>
        </is>
      </c>
      <c r="C16" s="0" t="inlineStr">
        <is>
          <t xml:space="preserve">Hardcodes, source IDs, evidence classes</t>
        </is>
      </c>
      <c r="E16" s="0" t="inlineStr">
        <is>
          <t xml:space="preserve">Lookup / linking</t>
        </is>
      </c>
      <c r="F16" s="7" t="inlineStr">
        <is>
          <t xml:space="preserve">INDEX + MATCH</t>
        </is>
      </c>
      <c r="G16" s="18" t="inlineStr">
        <is>
          <t xml:space="preserve">=INDEX(return_range,MATCH(selected_project,project_id_range,0))</t>
        </is>
      </c>
    </row>
    <row r="17" ht="30" customHeight="1">
      <c r="A17" s="0" t="inlineStr">
        <is>
          <t xml:space="preserve">2. Technical Model</t>
        </is>
      </c>
      <c r="B17" s="8" t="inlineStr">
        <is>
          <t xml:space="preserve">05_Solar_Energy / 06_Load_PPA</t>
        </is>
      </c>
      <c r="C17" s="0" t="inlineStr">
        <is>
          <t xml:space="preserve">P50/P90, yield, load matching, tariff value</t>
        </is>
      </c>
      <c r="E17" s="0" t="inlineStr">
        <is>
          <t xml:space="preserve">Conditional logic</t>
        </is>
      </c>
      <c r="F17" s="7" t="inlineStr">
        <is>
          <t xml:space="preserve">IF / IFERROR</t>
        </is>
      </c>
      <c r="G17" s="18" t="inlineStr">
        <is>
          <t xml:space="preserve">=IF(metric&gt;=threshold,"PASS","REVIEW")</t>
        </is>
      </c>
    </row>
    <row r="18" ht="30" customHeight="1">
      <c r="A18" s="0" t="inlineStr">
        <is>
          <t xml:space="preserve">3. Construction &amp; Opex</t>
        </is>
      </c>
      <c r="B18" s="8" t="inlineStr">
        <is>
          <t xml:space="preserve">07_CAPEX / 08_OPEX</t>
        </is>
      </c>
      <c r="C18" s="0" t="inlineStr">
        <is>
          <t xml:space="preserve">CAPEX schedule, VAT, IDC, O&amp;M</t>
        </is>
      </c>
      <c r="E18" s="0" t="inlineStr">
        <is>
          <t xml:space="preserve">Aggregation</t>
        </is>
      </c>
      <c r="F18" s="7" t="inlineStr">
        <is>
          <t xml:space="preserve">SUMIFS</t>
        </is>
      </c>
      <c r="G18" s="18" t="inlineStr">
        <is>
          <t xml:space="preserve">=SUMIFS(value_range,project_id_range,selected_project,year_range,year)</t>
        </is>
      </c>
    </row>
    <row r="19" ht="30" customHeight="1">
      <c r="A19" s="0" t="inlineStr">
        <is>
          <t xml:space="preserve">4. Cash Flow</t>
        </is>
      </c>
      <c r="B19" s="8" t="inlineStr">
        <is>
          <t xml:space="preserve">09_Project_CF_CFADS</t>
        </is>
      </c>
      <c r="C19" s="0" t="inlineStr">
        <is>
          <t xml:space="preserve">Revenue → tax → WC → maintenance → CFADS</t>
        </is>
      </c>
      <c r="E19" s="0" t="inlineStr">
        <is>
          <t xml:space="preserve">Debt sizing</t>
        </is>
      </c>
      <c r="F19" s="7" t="inlineStr">
        <is>
          <t xml:space="preserve">MIN / MAX</t>
        </is>
      </c>
      <c r="G19" s="18" t="inlineStr">
        <is>
          <t xml:space="preserve">=MIN(Debt_Leverage,Debt_DSCR,Debt_LLCR,Debt_PLCR)</t>
        </is>
      </c>
    </row>
    <row r="20" ht="30" customHeight="1">
      <c r="A20" s="0" t="inlineStr">
        <is>
          <t xml:space="preserve">5. Debt</t>
        </is>
      </c>
      <c r="B20" s="8" t="inlineStr">
        <is>
          <t xml:space="preserve">11_Debt_Terms / 12_Debt_Sculpting</t>
        </is>
      </c>
      <c r="C20" s="0" t="inlineStr">
        <is>
          <t xml:space="preserve">Debt terms, sculpting, principal/interest schedule</t>
        </is>
      </c>
      <c r="E20" s="0" t="inlineStr">
        <is>
          <t xml:space="preserve">Scenario control</t>
        </is>
      </c>
      <c r="F20" s="7" t="inlineStr">
        <is>
          <t xml:space="preserve">Data Validation</t>
        </is>
      </c>
      <c r="G20" s="18" t="inlineStr">
        <is>
          <t xml:space="preserve">Project dropdown + scenario-ready input controls</t>
        </is>
      </c>
    </row>
    <row r="21" ht="30" customHeight="1">
      <c r="A21" s="0" t="inlineStr">
        <is>
          <t xml:space="preserve">6. Credit Metrics</t>
        </is>
      </c>
      <c r="B21" s="8" t="inlineStr">
        <is>
          <t xml:space="preserve">14_Coverage</t>
        </is>
      </c>
      <c r="C21" s="0" t="inlineStr">
        <is>
          <t xml:space="preserve">DSCR / LLCR / PLCR / headroom</t>
        </is>
      </c>
      <c r="E21" s="0" t="inlineStr">
        <is>
          <t xml:space="preserve">QA</t>
        </is>
      </c>
      <c r="F21" s="7" t="inlineStr">
        <is>
          <t xml:space="preserve">Reconciliation</t>
        </is>
      </c>
      <c r="G21" s="18" t="inlineStr">
        <is>
          <t xml:space="preserve">=Calculated_Output-Source_Output</t>
        </is>
      </c>
    </row>
    <row r="22" ht="24" customHeight="1">
      <c r="A22" s="0" t="inlineStr">
        <is>
          <t xml:space="preserve">7. Returns</t>
        </is>
      </c>
      <c r="B22" s="8" t="inlineStr">
        <is>
          <t xml:space="preserve">15_Returns_Discount</t>
        </is>
      </c>
      <c r="C22" s="0" t="inlineStr">
        <is>
          <t xml:space="preserve">Project / equity NPV and return framing</t>
        </is>
      </c>
    </row>
    <row r="23" ht="24" customHeight="1">
      <c r="A23" s="0" t="inlineStr">
        <is>
          <t xml:space="preserve">8. Downside</t>
        </is>
      </c>
      <c r="B23" s="8" t="inlineStr">
        <is>
          <t xml:space="preserve">17_Scenarios_Sensitivity</t>
        </is>
      </c>
      <c r="C23" s="0" t="inlineStr">
        <is>
          <t xml:space="preserve">P90, rate, FX, DSO, COD and combined stress</t>
        </is>
      </c>
    </row>
    <row r="24" ht="24" customHeight="1">
      <c r="A24" s="0" t="inlineStr">
        <is>
          <t xml:space="preserve">9. Decision</t>
        </is>
      </c>
      <c r="B24" s="8" t="inlineStr">
        <is>
          <t xml:space="preserve">19_IC_Bankability</t>
        </is>
      </c>
      <c r="C24" s="0" t="inlineStr">
        <is>
          <t xml:space="preserve">Sponsor + lender conditions and IC classification</t>
        </is>
      </c>
    </row>
    <row r="25" ht="24" customHeight="1">
      <c r="A25" s="0" t="inlineStr">
        <is>
          <t xml:space="preserve">10. QA</t>
        </is>
      </c>
      <c r="B25" s="8" t="inlineStr">
        <is>
          <t xml:space="preserve">21_QA_Audit</t>
        </is>
      </c>
      <c r="C25" s="0" t="inlineStr">
        <is>
          <t xml:space="preserve">Reconciliation and release checks</t>
        </is>
      </c>
    </row>
    <row r="27"/>
    <row r="28" ht="20" customHeight="1">
      <c r="A28" s="3" t="inlineStr">
        <is>
          <t xml:space="preserve">RECRUITER NOTE</t>
        </is>
      </c>
    </row>
    <row r="29" ht="34" customHeight="1">
      <c r="A29" s="18" t="inlineStr">
        <is>
          <t xml:space="preserve">This workbook demonstrates separated inputs, formula-driven calculations, cross-sheet links, debt sculpting, coverage analysis, downside scenarios, decision outputs and QA controls.</t>
        </is>
      </c>
    </row>
    <row r="30" ht="30" customHeight="1">
      <c r="A30" s="18" t="inlineStr">
        <is>
          <t xml:space="preserve">Model boundary: public-data / synthetic underwriting demonstration. Not an executed PPA, lender term sheet, investment approval or independent audit.</t>
        </is>
      </c>
    </row>
    <row r="34">
      <c r="A34" s="19" t="inlineStr">
        <is>
          <t xml:space="preserve">MODEL CONTROL METADATA</t>
        </is>
      </c>
    </row>
    <row r="35">
      <c r="A35" s="0" t="inlineStr">
        <is>
          <t xml:space="preserve">model_id</t>
        </is>
      </c>
      <c r="B35" s="0" t="inlineStr">
        <is>
          <t xml:space="preserve">VietGreen_CI_Solar_Project_Finance</t>
        </is>
      </c>
    </row>
    <row r="36">
      <c r="A36" s="0" t="inlineStr">
        <is>
          <t xml:space="preserve">release_status</t>
        </is>
      </c>
      <c r="B36" s="0" t="inlineStr">
        <is>
          <t xml:space="preserve">candidate</t>
        </is>
      </c>
    </row>
    <row r="37">
      <c r="A37" s="0" t="inlineStr">
        <is>
          <t xml:space="preserve">claim_boundary</t>
        </is>
      </c>
      <c r="B37" s="0" t="inlineStr">
        <is>
          <t xml:space="preserve">PASS_WITH_LIMITATIONS</t>
        </is>
      </c>
    </row>
    <row r="38">
      <c r="A38" s="0" t="inlineStr">
        <is>
          <t xml:space="preserve">data_quality</t>
        </is>
      </c>
      <c r="B38" s="0" t="inlineStr">
        <is>
          <t xml:space="preserve">20 / 20 PASS</t>
        </is>
      </c>
    </row>
    <row r="39">
      <c r="A39" s="0" t="inlineStr">
        <is>
          <t xml:space="preserve">billing_status</t>
        </is>
      </c>
      <c r="B39" s="0" t="inlineStr">
        <is>
          <t xml:space="preserve">WATCH</t>
        </is>
      </c>
    </row>
    <row r="40">
      <c r="A40" s="0" t="inlineStr">
        <is>
          <t xml:space="preserve">github_sha</t>
        </is>
      </c>
      <c r="B40" s="0" t="inlineStr">
        <is>
          <t xml:space="preserve">remote-generated; see release manifest</t>
        </is>
      </c>
    </row>
  </sheetData>
  <mergeCells count="34">
    <mergeCell ref="A1:L2"/>
    <mergeCell ref="A3:L3"/>
    <mergeCell ref="D5:L5"/>
    <mergeCell ref="A7:L7"/>
    <mergeCell ref="A8:B8"/>
    <mergeCell ref="C8:D8"/>
    <mergeCell ref="E8:F8"/>
    <mergeCell ref="G8:H8"/>
    <mergeCell ref="I8:J8"/>
    <mergeCell ref="K8:L8"/>
    <mergeCell ref="A9:B9"/>
    <mergeCell ref="C9:D9"/>
    <mergeCell ref="E9:F9"/>
    <mergeCell ref="G9:H9"/>
    <mergeCell ref="I9:J9"/>
    <mergeCell ref="K9:L9"/>
    <mergeCell ref="A11:B11"/>
    <mergeCell ref="C11:D11"/>
    <mergeCell ref="E11:F11"/>
    <mergeCell ref="G11:H11"/>
    <mergeCell ref="I11:J11"/>
    <mergeCell ref="K11:L11"/>
    <mergeCell ref="A12:B12"/>
    <mergeCell ref="C12:D12"/>
    <mergeCell ref="E12:F12"/>
    <mergeCell ref="G12:H12"/>
    <mergeCell ref="I12:J12"/>
    <mergeCell ref="K12:L12"/>
    <mergeCell ref="A15:C15"/>
    <mergeCell ref="E15:L15"/>
    <mergeCell ref="A28:L28"/>
    <mergeCell ref="A29:L29"/>
    <mergeCell ref="A30:L30"/>
    <mergeCell ref="A34:B34"/>
  </mergeCells>
  <dataValidations count="1">
    <dataValidation type="list" allowBlank="0" showErrorMessage="1" sqref="B5">
      <formula1>"VG-001,VG-002,VG-003,VG-004,VG-005,VG-006,VG-007,VG-008,VG-009,VG-010,VG-011,VG-012,VG-013,VG-014,VG-015,VG-016,VG-017,VG-018,VG-019,VG-020"</formula1>
    </dataValidation>
  </dataValidations>
  <pageMargins left="0.35" right="0.35" top="0.5" bottom="0.5" header="0.2" footer="0.2"/>
</worksheet>
</file>

<file path=xl/worksheets/sheet2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22.50" customWidth="1"/>
    <col min="2" max="2" width="11.70" customWidth="1"/>
    <col min="3" max="3" width="24.00" customWidth="1"/>
    <col min="4" max="4" width="24.00" customWidth="1"/>
    <col min="5" max="5" width="12.60" customWidth="1"/>
    <col min="6" max="6" width="10.00" customWidth="1"/>
    <col min="7" max="7" width="10.80" customWidth="1"/>
    <col min="8" max="8" width="10.00" customWidth="1"/>
    <col min="9" max="9" width="24.00" customWidth="1"/>
    <col min="10" max="10" width="18.00" customWidth="1"/>
    <col min="11" max="11" width="18.00" customWidth="1"/>
    <col min="12" max="12" width="24.00" customWidth="1"/>
    <col min="13" max="13" width="10.00" customWidth="1"/>
    <col min="14" max="14" width="15.30" customWidth="1"/>
    <col min="15" max="15" width="10.00" customWidth="1"/>
    <col min="16" max="16" width="18.00" customWidth="1"/>
    <col min="17" max="17" width="24.00" customWidth="1"/>
    <col min="18" max="18" width="38.00" customWidth="1"/>
  </cols>
  <sheetData>
    <row r="1" ht="30" customHeight="1">
      <c r="A1" s="4" t="inlineStr">
        <is>
          <t xml:space="preserve">assumption_id</t>
        </is>
      </c>
      <c r="B1" s="4" t="inlineStr">
        <is>
          <t xml:space="preserve">category</t>
        </is>
      </c>
      <c r="C1" s="4" t="inlineStr">
        <is>
          <t xml:space="preserve">parameter</t>
        </is>
      </c>
      <c r="D1" s="4" t="inlineStr">
        <is>
          <t xml:space="preserve">base_value</t>
        </is>
      </c>
      <c r="E1" s="4" t="inlineStr">
        <is>
          <t xml:space="preserve">unit</t>
        </is>
      </c>
      <c r="F1" s="4" t="inlineStr">
        <is>
          <t xml:space="preserve">currency</t>
        </is>
      </c>
      <c r="G1" s="4" t="inlineStr">
        <is>
          <t xml:space="preserve">nominal_real</t>
        </is>
      </c>
      <c r="H1" s="4" t="inlineStr">
        <is>
          <t xml:space="preserve">base_date</t>
        </is>
      </c>
      <c r="I1" s="4" t="inlineStr">
        <is>
          <t xml:space="preserve">base_downside_upside</t>
        </is>
      </c>
      <c r="J1" s="4" t="inlineStr">
        <is>
          <t xml:space="preserve">classification</t>
        </is>
      </c>
      <c r="K1" s="4" t="inlineStr">
        <is>
          <t xml:space="preserve">benchmark_source_id</t>
        </is>
      </c>
      <c r="L1" s="4" t="inlineStr">
        <is>
          <t xml:space="preserve">benchmark_role</t>
        </is>
      </c>
      <c r="M1" s="4" t="inlineStr">
        <is>
          <t xml:space="preserve">owner</t>
        </is>
      </c>
      <c r="N1" s="4" t="inlineStr">
        <is>
          <t xml:space="preserve">reviewer</t>
        </is>
      </c>
      <c r="O1" s="4" t="inlineStr">
        <is>
          <t xml:space="preserve">status</t>
        </is>
      </c>
      <c r="P1" s="4" t="inlineStr">
        <is>
          <t xml:space="preserve">sensitivity_required</t>
        </is>
      </c>
      <c r="Q1" s="4" t="inlineStr">
        <is>
          <t xml:space="preserve">materiality_level</t>
        </is>
      </c>
      <c r="R1" s="4" t="inlineStr">
        <is>
          <t xml:space="preserve">notes</t>
        </is>
      </c>
    </row>
    <row r="2">
      <c r="A2" s="5" t="inlineStr">
        <is>
          <t xml:space="preserve">ASM-CAPEX</t>
        </is>
      </c>
      <c r="B2" s="5" t="inlineStr">
        <is>
          <t xml:space="preserve">CAPEX</t>
        </is>
      </c>
      <c r="C2" s="5" t="inlineStr">
        <is>
          <t xml:space="preserve">C&amp;I rooftop CAPEX</t>
        </is>
      </c>
      <c r="D2" s="6">
        <v>850</v>
      </c>
      <c r="E2" s="5" t="inlineStr">
        <is>
          <t xml:space="preserve">USD/kWp</t>
        </is>
      </c>
      <c r="F2" s="5" t="inlineStr">
        <is>
          <t xml:space="preserve">USD</t>
        </is>
      </c>
      <c r="G2" s="5" t="inlineStr">
        <is>
          <t xml:space="preserve">nominal</t>
        </is>
      </c>
      <c r="H2" s="5" t="inlineStr">
        <is>
          <t xml:space="preserve">2026-08-31</t>
        </is>
      </c>
      <c r="I2" s="5" t="inlineStr">
        <is>
          <t xml:space="preserve">850/1100/700</t>
        </is>
      </c>
      <c r="J2" s="5" t="inlineStr">
        <is>
          <t xml:space="preserve">ASSUMPTION</t>
        </is>
      </c>
      <c r="K2" s="5" t="inlineStr">
        <is>
          <t xml:space="preserve">SRC-IRENA-2024</t>
        </is>
      </c>
      <c r="L2" s="5" t="inlineStr">
        <is>
          <t xml:space="preserve">SANITY_BENCHMARK</t>
        </is>
      </c>
      <c r="M2" s="5" t="inlineStr">
        <is>
          <t xml:space="preserve">VietGreen</t>
        </is>
      </c>
      <c r="N2" s="5" t="inlineStr">
        <is>
          <t xml:space="preserve">Internal reviewer</t>
        </is>
      </c>
      <c r="O2" s="5" t="inlineStr">
        <is>
          <t xml:space="preserve">LOCKED</t>
        </is>
      </c>
      <c r="P2" s="5" t="b">
        <v>1</v>
      </c>
      <c r="Q2" s="5" t="inlineStr">
        <is>
          <t xml:space="preserve">HIGH</t>
        </is>
      </c>
      <c r="R2" s="5" t="inlineStr">
        <is>
          <t xml:space="preserve">Global utility comparator only.</t>
        </is>
      </c>
    </row>
    <row r="3">
      <c r="A3" s="5" t="inlineStr">
        <is>
          <t xml:space="preserve">ASM-OPEX</t>
        </is>
      </c>
      <c r="B3" s="5" t="inlineStr">
        <is>
          <t xml:space="preserve">OPEX</t>
        </is>
      </c>
      <c r="C3" s="5" t="inlineStr">
        <is>
          <t xml:space="preserve">Routine O&amp;M</t>
        </is>
      </c>
      <c r="D3" s="6">
        <v>15</v>
      </c>
      <c r="E3" s="5" t="inlineStr">
        <is>
          <t xml:space="preserve">USD/kW-year</t>
        </is>
      </c>
      <c r="F3" s="5" t="inlineStr">
        <is>
          <t xml:space="preserve">USD</t>
        </is>
      </c>
      <c r="G3" s="5" t="inlineStr">
        <is>
          <t xml:space="preserve">nominal</t>
        </is>
      </c>
      <c r="H3" s="5" t="inlineStr">
        <is>
          <t xml:space="preserve">2026-08-31</t>
        </is>
      </c>
      <c r="I3" s="5" t="inlineStr">
        <is>
          <t xml:space="preserve">15/25/10</t>
        </is>
      </c>
      <c r="J3" s="5" t="inlineStr">
        <is>
          <t xml:space="preserve">ASSUMPTION</t>
        </is>
      </c>
      <c r="K3" s="5" t="inlineStr">
        <is>
          <t xml:space="preserve">SRC-SOLAR-NREL</t>
        </is>
      </c>
      <c r="L3" s="5" t="inlineStr">
        <is>
          <t xml:space="preserve">COMPARATOR_ONLY</t>
        </is>
      </c>
      <c r="M3" s="5" t="inlineStr">
        <is>
          <t xml:space="preserve">VietGreen</t>
        </is>
      </c>
      <c r="N3" s="5" t="inlineStr">
        <is>
          <t xml:space="preserve">Internal reviewer</t>
        </is>
      </c>
      <c r="O3" s="5" t="inlineStr">
        <is>
          <t xml:space="preserve">LOCKED</t>
        </is>
      </c>
      <c r="P3" s="5" t="b">
        <v>1</v>
      </c>
      <c r="Q3" s="5" t="inlineStr">
        <is>
          <t xml:space="preserve">MEDIUM</t>
        </is>
      </c>
      <c r="R3" s="5" t="inlineStr">
        <is>
          <t xml:space="preserve">Local evidence required.</t>
        </is>
      </c>
    </row>
    <row r="4">
      <c r="A4" s="5" t="inlineStr">
        <is>
          <t xml:space="preserve">ASM-DEG</t>
        </is>
      </c>
      <c r="B4" s="5" t="inlineStr">
        <is>
          <t xml:space="preserve">Energy</t>
        </is>
      </c>
      <c r="C4" s="5" t="inlineStr">
        <is>
          <t xml:space="preserve">Annual degradation</t>
        </is>
      </c>
      <c r="D4" s="6">
        <v>0.5</v>
      </c>
      <c r="E4" s="5" t="inlineStr">
        <is>
          <t xml:space="preserve">%/year</t>
        </is>
      </c>
      <c r="F4" s="5" t="inlineStr">
        <is>
          <t xml:space="preserve">N/A</t>
        </is>
      </c>
      <c r="G4" s="5" t="inlineStr">
        <is>
          <t xml:space="preserve">nominal</t>
        </is>
      </c>
      <c r="H4" s="5" t="inlineStr">
        <is>
          <t xml:space="preserve">2026-08-31</t>
        </is>
      </c>
      <c r="I4" s="5" t="inlineStr">
        <is>
          <t xml:space="preserve">0.5/1.0/0.3</t>
        </is>
      </c>
      <c r="J4" s="5" t="inlineStr">
        <is>
          <t xml:space="preserve">ASSUMPTION</t>
        </is>
      </c>
      <c r="K4" s="5" t="inlineStr">
        <is>
          <t xml:space="preserve">SRC-SOLAR-NREL</t>
        </is>
      </c>
      <c r="L4" s="5" t="inlineStr">
        <is>
          <t xml:space="preserve">COMPARATOR_ONLY</t>
        </is>
      </c>
      <c r="M4" s="5" t="inlineStr">
        <is>
          <t xml:space="preserve">VietGreen</t>
        </is>
      </c>
      <c r="N4" s="5" t="inlineStr">
        <is>
          <t xml:space="preserve">Internal reviewer</t>
        </is>
      </c>
      <c r="O4" s="5" t="inlineStr">
        <is>
          <t xml:space="preserve">LOCKED</t>
        </is>
      </c>
      <c r="P4" s="5" t="b">
        <v>1</v>
      </c>
      <c r="Q4" s="5" t="inlineStr">
        <is>
          <t xml:space="preserve">MEDIUM</t>
        </is>
      </c>
      <c r="R4" s="5" t="inlineStr">
        <is>
          <t xml:space="preserve">Not warranty evidence.</t>
        </is>
      </c>
    </row>
    <row r="5">
      <c r="A5" s="5" t="inlineStr">
        <is>
          <t xml:space="preserve">ASM-PPA-TENOR</t>
        </is>
      </c>
      <c r="B5" s="5" t="inlineStr">
        <is>
          <t xml:space="preserve">Commercial</t>
        </is>
      </c>
      <c r="C5" s="5" t="inlineStr">
        <is>
          <t xml:space="preserve">PPA tenor</t>
        </is>
      </c>
      <c r="D5" s="6">
        <v>15</v>
      </c>
      <c r="E5" s="5" t="inlineStr">
        <is>
          <t xml:space="preserve">years</t>
        </is>
      </c>
      <c r="F5" s="5" t="inlineStr">
        <is>
          <t xml:space="preserve">N/A</t>
        </is>
      </c>
      <c r="G5" s="5" t="inlineStr">
        <is>
          <t xml:space="preserve">nominal</t>
        </is>
      </c>
      <c r="H5" s="5" t="inlineStr">
        <is>
          <t xml:space="preserve">2026-08-31</t>
        </is>
      </c>
      <c r="I5" s="5" t="inlineStr">
        <is>
          <t xml:space="preserve">12/15/20</t>
        </is>
      </c>
      <c r="J5" s="5" t="inlineStr">
        <is>
          <t xml:space="preserve">SIMULATED</t>
        </is>
      </c>
      <c r="K5" s="5"/>
      <c r="L5" s="5" t="inlineStr">
        <is>
          <t xml:space="preserve">NO_RELIABLE_PUBLIC_BENCHMARK</t>
        </is>
      </c>
      <c r="M5" s="5" t="inlineStr">
        <is>
          <t xml:space="preserve">VietGreen</t>
        </is>
      </c>
      <c r="N5" s="5" t="inlineStr">
        <is>
          <t xml:space="preserve">Internal reviewer</t>
        </is>
      </c>
      <c r="O5" s="5" t="inlineStr">
        <is>
          <t xml:space="preserve">LOCKED</t>
        </is>
      </c>
      <c r="P5" s="5" t="b">
        <v>1</v>
      </c>
      <c r="Q5" s="5" t="inlineStr">
        <is>
          <t xml:space="preserve">HIGH</t>
        </is>
      </c>
      <c r="R5" s="5" t="inlineStr">
        <is>
          <t xml:space="preserve">Must fit site rights.</t>
        </is>
      </c>
    </row>
    <row r="6">
      <c r="A6" s="5" t="inlineStr">
        <is>
          <t xml:space="preserve">ASM-DSCR-SIZE</t>
        </is>
      </c>
      <c r="B6" s="5" t="inlineStr">
        <is>
          <t xml:space="preserve">Debt</t>
        </is>
      </c>
      <c r="C6" s="5" t="inlineStr">
        <is>
          <t xml:space="preserve">Sizing DSCR</t>
        </is>
      </c>
      <c r="D6" s="6">
        <v>1.3</v>
      </c>
      <c r="E6" s="5" t="inlineStr">
        <is>
          <t xml:space="preserve">x</t>
        </is>
      </c>
      <c r="F6" s="5" t="inlineStr">
        <is>
          <t xml:space="preserve">N/A</t>
        </is>
      </c>
      <c r="G6" s="5" t="inlineStr">
        <is>
          <t xml:space="preserve">nominal</t>
        </is>
      </c>
      <c r="H6" s="5" t="inlineStr">
        <is>
          <t xml:space="preserve">2026-08-31</t>
        </is>
      </c>
      <c r="I6" s="5" t="inlineStr">
        <is>
          <t xml:space="preserve">1.2/1.3/1.5</t>
        </is>
      </c>
      <c r="J6" s="5" t="inlineStr">
        <is>
          <t xml:space="preserve">SIMULATED</t>
        </is>
      </c>
      <c r="K6" s="5"/>
      <c r="L6" s="5" t="inlineStr">
        <is>
          <t xml:space="preserve">NO_RELIABLE_PUBLIC_BENCHMARK</t>
        </is>
      </c>
      <c r="M6" s="5" t="inlineStr">
        <is>
          <t xml:space="preserve">VietGreen</t>
        </is>
      </c>
      <c r="N6" s="5" t="inlineStr">
        <is>
          <t xml:space="preserve">Internal reviewer</t>
        </is>
      </c>
      <c r="O6" s="5" t="inlineStr">
        <is>
          <t xml:space="preserve">LOCKED</t>
        </is>
      </c>
      <c r="P6" s="5" t="b">
        <v>1</v>
      </c>
      <c r="Q6" s="5" t="inlineStr">
        <is>
          <t xml:space="preserve">HIGH</t>
        </is>
      </c>
      <c r="R6" s="5" t="inlineStr">
        <is>
          <t xml:space="preserve">Not market standard.</t>
        </is>
      </c>
    </row>
    <row r="7">
      <c r="A7" s="5" t="inlineStr">
        <is>
          <t xml:space="preserve">ASM-DSCR-COV</t>
        </is>
      </c>
      <c r="B7" s="5" t="inlineStr">
        <is>
          <t xml:space="preserve">Debt</t>
        </is>
      </c>
      <c r="C7" s="5" t="inlineStr">
        <is>
          <t xml:space="preserve">Minimum covenant DSCR</t>
        </is>
      </c>
      <c r="D7" s="6">
        <v>1.2</v>
      </c>
      <c r="E7" s="5" t="inlineStr">
        <is>
          <t xml:space="preserve">x</t>
        </is>
      </c>
      <c r="F7" s="5" t="inlineStr">
        <is>
          <t xml:space="preserve">N/A</t>
        </is>
      </c>
      <c r="G7" s="5" t="inlineStr">
        <is>
          <t xml:space="preserve">nominal</t>
        </is>
      </c>
      <c r="H7" s="5" t="inlineStr">
        <is>
          <t xml:space="preserve">2026-08-31</t>
        </is>
      </c>
      <c r="I7" s="5" t="inlineStr">
        <is>
          <t xml:space="preserve">1.15/1.2/1.3</t>
        </is>
      </c>
      <c r="J7" s="5" t="inlineStr">
        <is>
          <t xml:space="preserve">SIMULATED</t>
        </is>
      </c>
      <c r="K7" s="5"/>
      <c r="L7" s="5" t="inlineStr">
        <is>
          <t xml:space="preserve">NO_RELIABLE_PUBLIC_BENCHMARK</t>
        </is>
      </c>
      <c r="M7" s="5" t="inlineStr">
        <is>
          <t xml:space="preserve">VietGreen</t>
        </is>
      </c>
      <c r="N7" s="5" t="inlineStr">
        <is>
          <t xml:space="preserve">Internal reviewer</t>
        </is>
      </c>
      <c r="O7" s="5" t="inlineStr">
        <is>
          <t xml:space="preserve">LOCKED</t>
        </is>
      </c>
      <c r="P7" s="5" t="b">
        <v>1</v>
      </c>
      <c r="Q7" s="5" t="inlineStr">
        <is>
          <t xml:space="preserve">HIGH</t>
        </is>
      </c>
      <c r="R7" s="5" t="inlineStr">
        <is>
          <t xml:space="preserve">Distinct from sizing.</t>
        </is>
      </c>
    </row>
    <row r="8">
      <c r="A8" s="5" t="inlineStr">
        <is>
          <t xml:space="preserve">ASM-DSCR-LOCKUP</t>
        </is>
      </c>
      <c r="B8" s="5" t="inlineStr">
        <is>
          <t xml:space="preserve">Debt</t>
        </is>
      </c>
      <c r="C8" s="5" t="inlineStr">
        <is>
          <t xml:space="preserve">Lock-up DSCR</t>
        </is>
      </c>
      <c r="D8" s="6">
        <v>1.25</v>
      </c>
      <c r="E8" s="5" t="inlineStr">
        <is>
          <t xml:space="preserve">x</t>
        </is>
      </c>
      <c r="F8" s="5" t="inlineStr">
        <is>
          <t xml:space="preserve">N/A</t>
        </is>
      </c>
      <c r="G8" s="5" t="inlineStr">
        <is>
          <t xml:space="preserve">nominal</t>
        </is>
      </c>
      <c r="H8" s="5" t="inlineStr">
        <is>
          <t xml:space="preserve">2026-08-31</t>
        </is>
      </c>
      <c r="I8" s="5" t="inlineStr">
        <is>
          <t xml:space="preserve">1.2/1.25/1.35</t>
        </is>
      </c>
      <c r="J8" s="5" t="inlineStr">
        <is>
          <t xml:space="preserve">SIMULATED</t>
        </is>
      </c>
      <c r="K8" s="5"/>
      <c r="L8" s="5" t="inlineStr">
        <is>
          <t xml:space="preserve">NO_RELIABLE_PUBLIC_BENCHMARK</t>
        </is>
      </c>
      <c r="M8" s="5" t="inlineStr">
        <is>
          <t xml:space="preserve">VietGreen</t>
        </is>
      </c>
      <c r="N8" s="5" t="inlineStr">
        <is>
          <t xml:space="preserve">Internal reviewer</t>
        </is>
      </c>
      <c r="O8" s="5" t="inlineStr">
        <is>
          <t xml:space="preserve">LOCKED</t>
        </is>
      </c>
      <c r="P8" s="5" t="b">
        <v>1</v>
      </c>
      <c r="Q8" s="5" t="inlineStr">
        <is>
          <t xml:space="preserve">Different from covenant DSCR.</t>
        </is>
      </c>
      <c r="R8" s="5"/>
    </row>
    <row r="9">
      <c r="A9" s="5" t="inlineStr">
        <is>
          <t xml:space="preserve">ASM-LLCR</t>
        </is>
      </c>
      <c r="B9" s="5" t="inlineStr">
        <is>
          <t xml:space="preserve">Debt</t>
        </is>
      </c>
      <c r="C9" s="5" t="inlineStr">
        <is>
          <t xml:space="preserve">LLCR floor</t>
        </is>
      </c>
      <c r="D9" s="6">
        <v>1.35</v>
      </c>
      <c r="E9" s="5" t="inlineStr">
        <is>
          <t xml:space="preserve">x</t>
        </is>
      </c>
      <c r="F9" s="5" t="inlineStr">
        <is>
          <t xml:space="preserve">N/A</t>
        </is>
      </c>
      <c r="G9" s="5" t="inlineStr">
        <is>
          <t xml:space="preserve">nominal</t>
        </is>
      </c>
      <c r="H9" s="5" t="inlineStr">
        <is>
          <t xml:space="preserve">2026-08-31</t>
        </is>
      </c>
      <c r="I9" s="5" t="inlineStr">
        <is>
          <t xml:space="preserve">1.25/1.35/1.5</t>
        </is>
      </c>
      <c r="J9" s="5" t="inlineStr">
        <is>
          <t xml:space="preserve">SIMULATED</t>
        </is>
      </c>
      <c r="K9" s="5"/>
      <c r="L9" s="5" t="inlineStr">
        <is>
          <t xml:space="preserve">NO_RELIABLE_PUBLIC_BENCHMARK</t>
        </is>
      </c>
      <c r="M9" s="5" t="inlineStr">
        <is>
          <t xml:space="preserve">VietGreen</t>
        </is>
      </c>
      <c r="N9" s="5" t="inlineStr">
        <is>
          <t xml:space="preserve">Internal reviewer</t>
        </is>
      </c>
      <c r="O9" s="5" t="inlineStr">
        <is>
          <t xml:space="preserve">LOCKED</t>
        </is>
      </c>
      <c r="P9" s="5" t="b">
        <v>1</v>
      </c>
      <c r="Q9" s="5" t="inlineStr">
        <is>
          <t xml:space="preserve">HIGH</t>
        </is>
      </c>
      <c r="R9" s="5" t="inlineStr">
        <is>
          <t xml:space="preserve">Rate registered separately.</t>
        </is>
      </c>
    </row>
    <row r="10">
      <c r="A10" s="5" t="inlineStr">
        <is>
          <t xml:space="preserve">ASM-PLCR</t>
        </is>
      </c>
      <c r="B10" s="5" t="inlineStr">
        <is>
          <t xml:space="preserve">Debt</t>
        </is>
      </c>
      <c r="C10" s="5" t="inlineStr">
        <is>
          <t xml:space="preserve">PLCR floor</t>
        </is>
      </c>
      <c r="D10" s="6">
        <v>1.25</v>
      </c>
      <c r="E10" s="5" t="inlineStr">
        <is>
          <t xml:space="preserve">x</t>
        </is>
      </c>
      <c r="F10" s="5" t="inlineStr">
        <is>
          <t xml:space="preserve">N/A</t>
        </is>
      </c>
      <c r="G10" s="5" t="inlineStr">
        <is>
          <t xml:space="preserve">nominal</t>
        </is>
      </c>
      <c r="H10" s="5" t="inlineStr">
        <is>
          <t xml:space="preserve">2026-08-31</t>
        </is>
      </c>
      <c r="I10" s="5" t="inlineStr">
        <is>
          <t xml:space="preserve">1.15/1.25/1.4</t>
        </is>
      </c>
      <c r="J10" s="5" t="inlineStr">
        <is>
          <t xml:space="preserve">SIMULATED</t>
        </is>
      </c>
      <c r="K10" s="5"/>
      <c r="L10" s="5" t="inlineStr">
        <is>
          <t xml:space="preserve">NO_RELIABLE_PUBLIC_BENCHMARK</t>
        </is>
      </c>
      <c r="M10" s="5" t="inlineStr">
        <is>
          <t xml:space="preserve">VietGreen</t>
        </is>
      </c>
      <c r="N10" s="5" t="inlineStr">
        <is>
          <t xml:space="preserve">Internal reviewer</t>
        </is>
      </c>
      <c r="O10" s="5" t="inlineStr">
        <is>
          <t xml:space="preserve">LOCKED</t>
        </is>
      </c>
      <c r="P10" s="5" t="b">
        <v>1</v>
      </c>
      <c r="Q10" s="5" t="inlineStr">
        <is>
          <t xml:space="preserve">MEDIUM</t>
        </is>
      </c>
      <c r="R10" s="5" t="inlineStr">
        <is>
          <t xml:space="preserve">Rate registered separately.</t>
        </is>
      </c>
    </row>
    <row r="11">
      <c r="A11" s="5" t="inlineStr">
        <is>
          <t xml:space="preserve">ASM-LEV</t>
        </is>
      </c>
      <c r="B11" s="5" t="inlineStr">
        <is>
          <t xml:space="preserve">Debt</t>
        </is>
      </c>
      <c r="C11" s="5" t="inlineStr">
        <is>
          <t xml:space="preserve">Debt/CAPEX cap</t>
        </is>
      </c>
      <c r="D11" s="6">
        <v>0.65</v>
      </c>
      <c r="E11" s="5" t="inlineStr">
        <is>
          <t xml:space="preserve">%</t>
        </is>
      </c>
      <c r="F11" s="5" t="inlineStr">
        <is>
          <t xml:space="preserve">N/A</t>
        </is>
      </c>
      <c r="G11" s="5" t="inlineStr">
        <is>
          <t xml:space="preserve">nominal</t>
        </is>
      </c>
      <c r="H11" s="5" t="inlineStr">
        <is>
          <t xml:space="preserve">2026-08-31</t>
        </is>
      </c>
      <c r="I11" s="5" t="inlineStr">
        <is>
          <t xml:space="preserve">50%/65%/75%</t>
        </is>
      </c>
      <c r="J11" s="5" t="inlineStr">
        <is>
          <t xml:space="preserve">SIMULATED</t>
        </is>
      </c>
      <c r="K11" s="5"/>
      <c r="L11" s="5" t="inlineStr">
        <is>
          <t xml:space="preserve">NO_RELIABLE_PUBLIC_BENCHMARK</t>
        </is>
      </c>
      <c r="M11" s="5" t="inlineStr">
        <is>
          <t xml:space="preserve">VietGreen</t>
        </is>
      </c>
      <c r="N11" s="5" t="inlineStr">
        <is>
          <t xml:space="preserve">Internal reviewer</t>
        </is>
      </c>
      <c r="O11" s="5" t="inlineStr">
        <is>
          <t xml:space="preserve">LOCKED</t>
        </is>
      </c>
      <c r="P11" s="5" t="b">
        <v>1</v>
      </c>
      <c r="Q11" s="5" t="inlineStr">
        <is>
          <t xml:space="preserve">HIGH</t>
        </is>
      </c>
      <c r="R11" s="5" t="inlineStr">
        <is>
          <t xml:space="preserve">Minimum of caps.</t>
        </is>
      </c>
    </row>
    <row r="12">
      <c r="A12" s="5" t="inlineStr">
        <is>
          <t xml:space="preserve">ASM-DSRA</t>
        </is>
      </c>
      <c r="B12" s="5" t="inlineStr">
        <is>
          <t xml:space="preserve">Reserves</t>
        </is>
      </c>
      <c r="C12" s="5" t="inlineStr">
        <is>
          <t xml:space="preserve">DSRA</t>
        </is>
      </c>
      <c r="D12" s="6">
        <v>6</v>
      </c>
      <c r="E12" s="5" t="inlineStr">
        <is>
          <t xml:space="preserve">months</t>
        </is>
      </c>
      <c r="F12" s="5" t="inlineStr">
        <is>
          <t xml:space="preserve">N/A</t>
        </is>
      </c>
      <c r="G12" s="5" t="inlineStr">
        <is>
          <t xml:space="preserve">nominal</t>
        </is>
      </c>
      <c r="H12" s="5" t="inlineStr">
        <is>
          <t xml:space="preserve">2026-08-31</t>
        </is>
      </c>
      <c r="I12" s="5" t="inlineStr">
        <is>
          <t xml:space="preserve">3/6/12</t>
        </is>
      </c>
      <c r="J12" s="5" t="inlineStr">
        <is>
          <t xml:space="preserve">SIMULATED</t>
        </is>
      </c>
      <c r="K12" s="5"/>
      <c r="L12" s="5" t="inlineStr">
        <is>
          <t xml:space="preserve">NO_RELIABLE_PUBLIC_BENCHMARK</t>
        </is>
      </c>
      <c r="M12" s="5" t="inlineStr">
        <is>
          <t xml:space="preserve">VietGreen</t>
        </is>
      </c>
      <c r="N12" s="5" t="inlineStr">
        <is>
          <t xml:space="preserve">Internal reviewer</t>
        </is>
      </c>
      <c r="O12" s="5" t="inlineStr">
        <is>
          <t xml:space="preserve">LOCKED</t>
        </is>
      </c>
      <c r="P12" s="5" t="b">
        <v>1</v>
      </c>
      <c r="Q12" s="5" t="inlineStr">
        <is>
          <t xml:space="preserve">MEDIUM</t>
        </is>
      </c>
      <c r="R12" s="5"/>
    </row>
    <row r="13">
      <c r="A13" s="5" t="inlineStr">
        <is>
          <t xml:space="preserve">ASM-FX</t>
        </is>
      </c>
      <c r="B13" s="5" t="inlineStr">
        <is>
          <t xml:space="preserve">FX</t>
        </is>
      </c>
      <c r="C13" s="5" t="inlineStr">
        <is>
          <t xml:space="preserve">Annual VND depreciation</t>
        </is>
      </c>
      <c r="D13" s="6">
        <v>0</v>
      </c>
      <c r="E13" s="5" t="inlineStr">
        <is>
          <t xml:space="preserve">%/year</t>
        </is>
      </c>
      <c r="F13" s="5" t="inlineStr">
        <is>
          <t xml:space="preserve">N/A</t>
        </is>
      </c>
      <c r="G13" s="5" t="inlineStr">
        <is>
          <t xml:space="preserve">nominal</t>
        </is>
      </c>
      <c r="H13" s="5" t="inlineStr">
        <is>
          <t xml:space="preserve">2026-08-31</t>
        </is>
      </c>
      <c r="I13" s="5" t="inlineStr">
        <is>
          <t xml:space="preserve">0/2/4/6</t>
        </is>
      </c>
      <c r="J13" s="5" t="inlineStr">
        <is>
          <t xml:space="preserve">ASSUMPTION</t>
        </is>
      </c>
      <c r="K13" s="5"/>
      <c r="L13" s="5" t="inlineStr">
        <is>
          <t xml:space="preserve">NO_RELIABLE_PUBLIC_BENCHMARK</t>
        </is>
      </c>
      <c r="M13" s="5" t="inlineStr">
        <is>
          <t xml:space="preserve">VietGreen</t>
        </is>
      </c>
      <c r="N13" s="5" t="inlineStr">
        <is>
          <t xml:space="preserve">Internal reviewer</t>
        </is>
      </c>
      <c r="O13" s="5" t="inlineStr">
        <is>
          <t xml:space="preserve">LOCKED</t>
        </is>
      </c>
      <c r="P13" s="5" t="b">
        <v>1</v>
      </c>
      <c r="Q13" s="5" t="inlineStr">
        <is>
          <t xml:space="preserve">HIGH</t>
        </is>
      </c>
      <c r="R13" s="5" t="inlineStr">
        <is>
          <t xml:space="preserve">Stress path</t>
        </is>
      </c>
    </row>
    <row r="14">
      <c r="A14" s="5" t="inlineStr">
        <is>
          <t xml:space="preserve">ASM-TAX</t>
        </is>
      </c>
      <c r="B14" s="5" t="inlineStr">
        <is>
          <t xml:space="preserve">Cash flow</t>
        </is>
      </c>
      <c r="C14" s="5" t="inlineStr">
        <is>
          <t xml:space="preserve">CIT cash tax rate</t>
        </is>
      </c>
      <c r="D14" s="6">
        <v>0.2</v>
      </c>
      <c r="E14" s="5" t="inlineStr">
        <is>
          <t xml:space="preserve">decimal</t>
        </is>
      </c>
      <c r="F14" s="5" t="inlineStr">
        <is>
          <t xml:space="preserve">VND</t>
        </is>
      </c>
      <c r="G14" s="5" t="inlineStr">
        <is>
          <t xml:space="preserve">nominal</t>
        </is>
      </c>
      <c r="H14" s="5" t="inlineStr">
        <is>
          <t xml:space="preserve">2026-08-31</t>
        </is>
      </c>
      <c r="I14" s="5" t="inlineStr">
        <is>
          <t xml:space="preserve">0.20/0.22/0.25</t>
        </is>
      </c>
      <c r="J14" s="5" t="inlineStr">
        <is>
          <t xml:space="preserve">ASSUMPTION</t>
        </is>
      </c>
      <c r="K14" s="5" t="inlineStr">
        <is>
          <t xml:space="preserve">SRC-TAX-067</t>
        </is>
      </c>
      <c r="L14" s="5" t="inlineStr">
        <is>
          <t xml:space="preserve">DIRECT_EVIDENCE</t>
        </is>
      </c>
      <c r="M14" s="5" t="inlineStr">
        <is>
          <t xml:space="preserve">VietGreen</t>
        </is>
      </c>
      <c r="N14" s="5" t="inlineStr">
        <is>
          <t xml:space="preserve">Internal reviewer</t>
        </is>
      </c>
      <c r="O14" s="5" t="inlineStr">
        <is>
          <t xml:space="preserve">LOCKED</t>
        </is>
      </c>
      <c r="P14" s="5" t="b">
        <v>1</v>
      </c>
      <c r="Q14" s="5" t="inlineStr">
        <is>
          <t xml:space="preserve">HIGH</t>
        </is>
      </c>
      <c r="R14" s="5" t="inlineStr">
        <is>
          <t xml:space="preserve">Model proxy pending transaction-specific tax advice; tax rules are separately registered.</t>
        </is>
      </c>
    </row>
    <row r="15">
      <c r="A15" s="5" t="inlineStr">
        <is>
          <t xml:space="preserve">ASM-DSO</t>
        </is>
      </c>
      <c r="B15" s="5" t="inlineStr">
        <is>
          <t xml:space="preserve">Cash flow</t>
        </is>
      </c>
      <c r="C15" s="5" t="inlineStr">
        <is>
          <t xml:space="preserve">Accounts receivable days</t>
        </is>
      </c>
      <c r="D15" s="6">
        <v>30</v>
      </c>
      <c r="E15" s="5" t="inlineStr">
        <is>
          <t xml:space="preserve">days</t>
        </is>
      </c>
      <c r="F15" s="5" t="inlineStr">
        <is>
          <t xml:space="preserve">N/A</t>
        </is>
      </c>
      <c r="G15" s="5" t="inlineStr">
        <is>
          <t xml:space="preserve">nominal</t>
        </is>
      </c>
      <c r="H15" s="5" t="inlineStr">
        <is>
          <t xml:space="preserve">2026-08-31</t>
        </is>
      </c>
      <c r="I15" s="5" t="inlineStr">
        <is>
          <t xml:space="preserve">30/60/90</t>
        </is>
      </c>
      <c r="J15" s="5" t="inlineStr">
        <is>
          <t xml:space="preserve">SIMULATED</t>
        </is>
      </c>
      <c r="K15" s="5"/>
      <c r="L15" s="5" t="inlineStr">
        <is>
          <t xml:space="preserve">NO_RELIABLE_PUBLIC_BENCHMARK</t>
        </is>
      </c>
      <c r="M15" s="5" t="inlineStr">
        <is>
          <t xml:space="preserve">VietGreen</t>
        </is>
      </c>
      <c r="N15" s="5" t="inlineStr">
        <is>
          <t xml:space="preserve">Internal reviewer</t>
        </is>
      </c>
      <c r="O15" s="5" t="inlineStr">
        <is>
          <t xml:space="preserve">LOCKED</t>
        </is>
      </c>
      <c r="P15" s="5" t="b">
        <v>1</v>
      </c>
      <c r="Q15" s="5" t="inlineStr">
        <is>
          <t xml:space="preserve">HIGH</t>
        </is>
      </c>
      <c r="R15" s="5" t="inlineStr">
        <is>
          <t xml:space="preserve">Working-capital assumption.</t>
        </is>
      </c>
    </row>
    <row r="16">
      <c r="A16" s="5" t="inlineStr">
        <is>
          <t xml:space="preserve">ASM-PPA-ESCALATION</t>
        </is>
      </c>
      <c r="B16" s="5" t="inlineStr">
        <is>
          <t xml:space="preserve">Commercial</t>
        </is>
      </c>
      <c r="C16" s="5" t="inlineStr">
        <is>
          <t xml:space="preserve">PPA escalation</t>
        </is>
      </c>
      <c r="D16" s="6">
        <v>0.01</v>
      </c>
      <c r="E16" s="5" t="inlineStr">
        <is>
          <t xml:space="preserve">decimal</t>
        </is>
      </c>
      <c r="F16" s="5" t="inlineStr">
        <is>
          <t xml:space="preserve">N/A</t>
        </is>
      </c>
      <c r="G16" s="5" t="inlineStr">
        <is>
          <t xml:space="preserve">nominal</t>
        </is>
      </c>
      <c r="H16" s="5" t="inlineStr">
        <is>
          <t xml:space="preserve">2026-08-31</t>
        </is>
      </c>
      <c r="I16" s="5" t="inlineStr">
        <is>
          <t xml:space="preserve">0.00/0.01/0.02</t>
        </is>
      </c>
      <c r="J16" s="5" t="inlineStr">
        <is>
          <t xml:space="preserve">SIMULATED</t>
        </is>
      </c>
      <c r="K16" s="5"/>
      <c r="L16" s="5" t="inlineStr">
        <is>
          <t xml:space="preserve">NO_RELIABLE_PUBLIC_BENCHMARK</t>
        </is>
      </c>
      <c r="M16" s="5" t="inlineStr">
        <is>
          <t xml:space="preserve">VietGreen</t>
        </is>
      </c>
      <c r="N16" s="5" t="inlineStr">
        <is>
          <t xml:space="preserve">Internal reviewer</t>
        </is>
      </c>
      <c r="O16" s="5" t="inlineStr">
        <is>
          <t xml:space="preserve">LOCKED</t>
        </is>
      </c>
      <c r="P16" s="5" t="b">
        <v>1</v>
      </c>
      <c r="Q16" s="5" t="inlineStr">
        <is>
          <t xml:space="preserve">MEDIUM</t>
        </is>
      </c>
      <c r="R16" s="5" t="inlineStr">
        <is>
          <t xml:space="preserve">Contract-specific input required.</t>
        </is>
      </c>
    </row>
    <row r="17">
      <c r="A17" s="5" t="inlineStr">
        <is>
          <t xml:space="preserve">ASM-OPEX-ESCALATION</t>
        </is>
      </c>
      <c r="B17" s="5" t="inlineStr">
        <is>
          <t xml:space="preserve">Operations</t>
        </is>
      </c>
      <c r="C17" s="5" t="inlineStr">
        <is>
          <t xml:space="preserve">O&amp;M escalation</t>
        </is>
      </c>
      <c r="D17" s="6">
        <v>0.02</v>
      </c>
      <c r="E17" s="5" t="inlineStr">
        <is>
          <t xml:space="preserve">decimal</t>
        </is>
      </c>
      <c r="F17" s="5" t="inlineStr">
        <is>
          <t xml:space="preserve">N/A</t>
        </is>
      </c>
      <c r="G17" s="5" t="inlineStr">
        <is>
          <t xml:space="preserve">nominal</t>
        </is>
      </c>
      <c r="H17" s="5" t="inlineStr">
        <is>
          <t xml:space="preserve">2026-08-31</t>
        </is>
      </c>
      <c r="I17" s="5" t="inlineStr">
        <is>
          <t xml:space="preserve">0.01/0.02/0.03</t>
        </is>
      </c>
      <c r="J17" s="5" t="inlineStr">
        <is>
          <t xml:space="preserve">SIMULATED</t>
        </is>
      </c>
      <c r="K17" s="5"/>
      <c r="L17" s="5" t="inlineStr">
        <is>
          <t xml:space="preserve">NO_RELIABLE_PUBLIC_BENCHMARK</t>
        </is>
      </c>
      <c r="M17" s="5" t="inlineStr">
        <is>
          <t xml:space="preserve">VietGreen</t>
        </is>
      </c>
      <c r="N17" s="5" t="inlineStr">
        <is>
          <t xml:space="preserve">Internal reviewer</t>
        </is>
      </c>
      <c r="O17" s="5" t="inlineStr">
        <is>
          <t xml:space="preserve">LOCKED</t>
        </is>
      </c>
      <c r="P17" s="5" t="b">
        <v>1</v>
      </c>
      <c r="Q17" s="5" t="inlineStr">
        <is>
          <t xml:space="preserve">MEDIUM</t>
        </is>
      </c>
      <c r="R17" s="5" t="inlineStr">
        <is>
          <t xml:space="preserve">Contract-specific input required.</t>
        </is>
      </c>
    </row>
    <row r="18">
      <c r="A18" s="5" t="inlineStr">
        <is>
          <t xml:space="preserve">ASM-VAT</t>
        </is>
      </c>
      <c r="B18" s="5" t="inlineStr">
        <is>
          <t xml:space="preserve">Cash flow</t>
        </is>
      </c>
      <c r="C18" s="5" t="inlineStr">
        <is>
          <t xml:space="preserve">Input VAT rate</t>
        </is>
      </c>
      <c r="D18" s="6">
        <v>0.08</v>
      </c>
      <c r="E18" s="5" t="inlineStr">
        <is>
          <t xml:space="preserve">decimal</t>
        </is>
      </c>
      <c r="F18" s="5" t="inlineStr">
        <is>
          <t xml:space="preserve">VND</t>
        </is>
      </c>
      <c r="G18" s="5" t="inlineStr">
        <is>
          <t xml:space="preserve">nominal</t>
        </is>
      </c>
      <c r="H18" s="5" t="inlineStr">
        <is>
          <t xml:space="preserve">2026-08-31</t>
        </is>
      </c>
      <c r="I18" s="5" t="inlineStr">
        <is>
          <t xml:space="preserve">0.08/0.10/0.12</t>
        </is>
      </c>
      <c r="J18" s="5" t="inlineStr">
        <is>
          <t xml:space="preserve">SIMULATED</t>
        </is>
      </c>
      <c r="K18" s="5" t="inlineStr">
        <is>
          <t xml:space="preserve">SRC-TAX-020</t>
        </is>
      </c>
      <c r="L18" s="5" t="inlineStr">
        <is>
          <t xml:space="preserve">CONTEXT_ONLY</t>
        </is>
      </c>
      <c r="M18" s="5" t="inlineStr">
        <is>
          <t xml:space="preserve">VietGreen</t>
        </is>
      </c>
      <c r="N18" s="5" t="inlineStr">
        <is>
          <t xml:space="preserve">Internal reviewer</t>
        </is>
      </c>
      <c r="O18" s="5" t="inlineStr">
        <is>
          <t xml:space="preserve">LOCKED</t>
        </is>
      </c>
      <c r="P18" s="5" t="b">
        <v>1</v>
      </c>
      <c r="Q18" s="5" t="inlineStr">
        <is>
          <t xml:space="preserve">HIGH</t>
        </is>
      </c>
      <c r="R18" s="5" t="inlineStr">
        <is>
          <t xml:space="preserve">Tax/VAT treatment requires local advice.</t>
        </is>
      </c>
    </row>
    <row r="19">
      <c r="A19" s="5" t="inlineStr">
        <is>
          <t xml:space="preserve">ASM-MAINT</t>
        </is>
      </c>
      <c r="B19" s="5" t="inlineStr">
        <is>
          <t xml:space="preserve">Cash flow</t>
        </is>
      </c>
      <c r="C19" s="5" t="inlineStr">
        <is>
          <t xml:space="preserve">Major maintenance as percent of net CAPEX</t>
        </is>
      </c>
      <c r="D19" s="6">
        <v>0.005</v>
      </c>
      <c r="E19" s="5" t="inlineStr">
        <is>
          <t xml:space="preserve">decimal</t>
        </is>
      </c>
      <c r="F19" s="5" t="inlineStr">
        <is>
          <t xml:space="preserve">VND</t>
        </is>
      </c>
      <c r="G19" s="5" t="inlineStr">
        <is>
          <t xml:space="preserve">nominal</t>
        </is>
      </c>
      <c r="H19" s="5" t="inlineStr">
        <is>
          <t xml:space="preserve">2026-08-31</t>
        </is>
      </c>
      <c r="I19" s="5" t="inlineStr">
        <is>
          <t xml:space="preserve">0.00/0.005/0.01</t>
        </is>
      </c>
      <c r="J19" s="5" t="inlineStr">
        <is>
          <t xml:space="preserve">SIMULATED</t>
        </is>
      </c>
      <c r="K19" s="5"/>
      <c r="L19" s="5" t="inlineStr">
        <is>
          <t xml:space="preserve">NO_RELIABLE_PUBLIC_BENCHMARK</t>
        </is>
      </c>
      <c r="M19" s="5" t="inlineStr">
        <is>
          <t xml:space="preserve">VietGreen</t>
        </is>
      </c>
      <c r="N19" s="5" t="inlineStr">
        <is>
          <t xml:space="preserve">Internal reviewer</t>
        </is>
      </c>
      <c r="O19" s="5" t="inlineStr">
        <is>
          <t xml:space="preserve">LOCKED</t>
        </is>
      </c>
      <c r="P19" s="5" t="b">
        <v>1</v>
      </c>
      <c r="Q19" s="5" t="inlineStr">
        <is>
          <t xml:space="preserve">MEDIUM</t>
        </is>
      </c>
      <c r="R19" s="5" t="inlineStr">
        <is>
          <t xml:space="preserve">Applied in years 5 and 10 only.</t>
        </is>
      </c>
    </row>
    <row r="20">
      <c r="A20" s="5" t="inlineStr">
        <is>
          <t xml:space="preserve">ASM-TARIFF-BASE</t>
        </is>
      </c>
      <c r="B20" s="5" t="inlineStr">
        <is>
          <t xml:space="preserve">Tariff</t>
        </is>
      </c>
      <c r="C20" s="5" t="inlineStr">
        <is>
          <t xml:space="preserve">Simulated blended base avoided tariff</t>
        </is>
      </c>
      <c r="D20" s="6">
        <v>1450</v>
      </c>
      <c r="E20" s="5" t="inlineStr">
        <is>
          <t xml:space="preserve">VND/kWh</t>
        </is>
      </c>
      <c r="F20" s="5" t="inlineStr">
        <is>
          <t xml:space="preserve">VND</t>
        </is>
      </c>
      <c r="G20" s="5" t="inlineStr">
        <is>
          <t xml:space="preserve">nominal</t>
        </is>
      </c>
      <c r="H20" s="5" t="inlineStr">
        <is>
          <t xml:space="preserve">2026-08-31</t>
        </is>
      </c>
      <c r="I20" s="5" t="inlineStr">
        <is>
          <t xml:space="preserve">1450/1800/2350</t>
        </is>
      </c>
      <c r="J20" s="5" t="inlineStr">
        <is>
          <t xml:space="preserve">SIMULATED</t>
        </is>
      </c>
      <c r="K20" s="5" t="inlineStr">
        <is>
          <t xml:space="preserve">SRC-TAR-60</t>
        </is>
      </c>
      <c r="L20" s="5" t="inlineStr">
        <is>
          <t xml:space="preserve">CONTEXT_ONLY</t>
        </is>
      </c>
      <c r="M20" s="5" t="inlineStr">
        <is>
          <t xml:space="preserve">VietGreen</t>
        </is>
      </c>
      <c r="N20" s="5" t="inlineStr">
        <is>
          <t xml:space="preserve">Internal reviewer</t>
        </is>
      </c>
      <c r="O20" s="5" t="inlineStr">
        <is>
          <t xml:space="preserve">LOCKED</t>
        </is>
      </c>
      <c r="P20" s="5" t="b">
        <v>1</v>
      </c>
      <c r="Q20" s="5" t="inlineStr">
        <is>
          <t xml:space="preserve">HIGH</t>
        </is>
      </c>
      <c r="R20" s="5" t="inlineStr">
        <is>
          <t xml:space="preserve">Model-only component; not a billed tariff.</t>
        </is>
      </c>
    </row>
    <row r="21">
      <c r="A21" s="5" t="inlineStr">
        <is>
          <t xml:space="preserve">ASM-TARIFF-DAY-PREMIUM</t>
        </is>
      </c>
      <c r="B21" s="5" t="inlineStr">
        <is>
          <t xml:space="preserve">Tariff</t>
        </is>
      </c>
      <c r="C21" s="5" t="inlineStr">
        <is>
          <t xml:space="preserve">Simulated daytime premium</t>
        </is>
      </c>
      <c r="D21" s="6">
        <v>1450</v>
      </c>
      <c r="E21" s="5" t="inlineStr">
        <is>
          <t xml:space="preserve">VND/kWh</t>
        </is>
      </c>
      <c r="F21" s="5" t="inlineStr">
        <is>
          <t xml:space="preserve">VND</t>
        </is>
      </c>
      <c r="G21" s="5" t="inlineStr">
        <is>
          <t xml:space="preserve">nominal</t>
        </is>
      </c>
      <c r="H21" s="5" t="inlineStr">
        <is>
          <t xml:space="preserve">2026-08-31</t>
        </is>
      </c>
      <c r="I21" s="5" t="inlineStr">
        <is>
          <t xml:space="preserve">0/1450/2500</t>
        </is>
      </c>
      <c r="J21" s="5" t="inlineStr">
        <is>
          <t xml:space="preserve">SIMULATED</t>
        </is>
      </c>
      <c r="K21" s="5" t="inlineStr">
        <is>
          <t xml:space="preserve">SRC-TAR-963</t>
        </is>
      </c>
      <c r="L21" s="5" t="inlineStr">
        <is>
          <t xml:space="preserve">CONTEXT_ONLY</t>
        </is>
      </c>
      <c r="M21" s="5" t="inlineStr">
        <is>
          <t xml:space="preserve">VietGreen</t>
        </is>
      </c>
      <c r="N21" s="5" t="inlineStr">
        <is>
          <t xml:space="preserve">Internal reviewer</t>
        </is>
      </c>
      <c r="O21" s="5" t="inlineStr">
        <is>
          <t xml:space="preserve">LOCKED</t>
        </is>
      </c>
      <c r="P21" s="5" t="b">
        <v>1</v>
      </c>
      <c r="Q21" s="5" t="inlineStr">
        <is>
          <t xml:space="preserve">HIGH</t>
        </is>
      </c>
      <c r="R21" s="5" t="inlineStr">
        <is>
          <t xml:space="preserve">Model-only component; Decision 963 provides hours</t>
        </is>
      </c>
    </row>
    <row r="22">
      <c r="A22" s="5" t="inlineStr">
        <is>
          <t xml:space="preserve">ASM-FX-BASE</t>
        </is>
      </c>
      <c r="B22" s="5" t="inlineStr">
        <is>
          <t xml:space="preserve">FX</t>
        </is>
      </c>
      <c r="C22" s="5" t="inlineStr">
        <is>
          <t xml:space="preserve">Base VND per USD</t>
        </is>
      </c>
      <c r="D22" s="6">
        <v>25000</v>
      </c>
      <c r="E22" s="5" t="inlineStr">
        <is>
          <t xml:space="preserve">VND/USD</t>
        </is>
      </c>
      <c r="F22" s="5" t="inlineStr">
        <is>
          <t xml:space="preserve">VND</t>
        </is>
      </c>
      <c r="G22" s="5" t="inlineStr">
        <is>
          <t xml:space="preserve">nominal</t>
        </is>
      </c>
      <c r="H22" s="5" t="inlineStr">
        <is>
          <t xml:space="preserve">2026-08-31</t>
        </is>
      </c>
      <c r="I22" s="5" t="inlineStr">
        <is>
          <t xml:space="preserve">24000/25000/27000</t>
        </is>
      </c>
      <c r="J22" s="5" t="inlineStr">
        <is>
          <t xml:space="preserve">ASSUMPTION</t>
        </is>
      </c>
      <c r="K22" s="5"/>
      <c r="L22" s="5" t="inlineStr">
        <is>
          <t xml:space="preserve">NO_RELIABLE_PUBLIC_BENCHMARK</t>
        </is>
      </c>
      <c r="M22" s="5" t="inlineStr">
        <is>
          <t xml:space="preserve">VietGreen</t>
        </is>
      </c>
      <c r="N22" s="5" t="inlineStr">
        <is>
          <t xml:space="preserve">Internal reviewer</t>
        </is>
      </c>
      <c r="O22" s="5" t="inlineStr">
        <is>
          <t xml:space="preserve">LOCKED</t>
        </is>
      </c>
      <c r="P22" s="5" t="b">
        <v>1</v>
      </c>
      <c r="Q22" s="5" t="inlineStr">
        <is>
          <t xml:space="preserve">HIGH</t>
        </is>
      </c>
      <c r="R22" s="5" t="inlineStr">
        <is>
          <t xml:space="preserve">Transaction input placeholder.</t>
        </is>
      </c>
    </row>
    <row r="23">
      <c r="A23" s="5" t="inlineStr">
        <is>
          <t xml:space="preserve">ASM-DISC-PROJECT</t>
        </is>
      </c>
      <c r="B23" s="5" t="inlineStr">
        <is>
          <t xml:space="preserve">Discount rate</t>
        </is>
      </c>
      <c r="C23" s="5" t="inlineStr">
        <is>
          <t xml:space="preserve">Unlevered project NPV rate</t>
        </is>
      </c>
      <c r="D23" s="6">
        <v>0.12</v>
      </c>
      <c r="E23" s="5" t="inlineStr">
        <is>
          <t xml:space="preserve">decimal</t>
        </is>
      </c>
      <c r="F23" s="5" t="inlineStr">
        <is>
          <t xml:space="preserve">VND</t>
        </is>
      </c>
      <c r="G23" s="5" t="inlineStr">
        <is>
          <t xml:space="preserve">nominal</t>
        </is>
      </c>
      <c r="H23" s="5" t="inlineStr">
        <is>
          <t xml:space="preserve">2026-08-31</t>
        </is>
      </c>
      <c r="I23" s="5" t="inlineStr">
        <is>
          <t xml:space="preserve">0.10/0.12/0.15</t>
        </is>
      </c>
      <c r="J23" s="5" t="inlineStr">
        <is>
          <t xml:space="preserve">SIMULATED</t>
        </is>
      </c>
      <c r="K23" s="5"/>
      <c r="L23" s="5" t="inlineStr">
        <is>
          <t xml:space="preserve">NO_RELIABLE_PUBLIC_BENCHMARK</t>
        </is>
      </c>
      <c r="M23" s="5" t="inlineStr">
        <is>
          <t xml:space="preserve">VietGreen</t>
        </is>
      </c>
      <c r="N23" s="5" t="inlineStr">
        <is>
          <t xml:space="preserve">Internal reviewer</t>
        </is>
      </c>
      <c r="O23" s="5" t="inlineStr">
        <is>
          <t xml:space="preserve">LOCKED</t>
        </is>
      </c>
      <c r="P23" s="5" t="b">
        <v>1</v>
      </c>
      <c r="Q23" s="5" t="inlineStr">
        <is>
          <t xml:space="preserve">HIGH</t>
        </is>
      </c>
      <c r="R23" s="5" t="inlineStr">
        <is>
          <t xml:space="preserve">Registered for project cash flow.</t>
        </is>
      </c>
    </row>
    <row r="24">
      <c r="A24" s="5" t="inlineStr">
        <is>
          <t xml:space="preserve">ASM-DISC-EQUITY</t>
        </is>
      </c>
      <c r="B24" s="5" t="inlineStr">
        <is>
          <t xml:space="preserve">Discount rate</t>
        </is>
      </c>
      <c r="C24" s="5" t="inlineStr">
        <is>
          <t xml:space="preserve">Sponsor equity NPV rate</t>
        </is>
      </c>
      <c r="D24" s="6">
        <v>0.14</v>
      </c>
      <c r="E24" s="5" t="inlineStr">
        <is>
          <t xml:space="preserve">decimal</t>
        </is>
      </c>
      <c r="F24" s="5" t="inlineStr">
        <is>
          <t xml:space="preserve">VND</t>
        </is>
      </c>
      <c r="G24" s="5" t="inlineStr">
        <is>
          <t xml:space="preserve">nominal</t>
        </is>
      </c>
      <c r="H24" s="5" t="inlineStr">
        <is>
          <t xml:space="preserve">2026-08-31</t>
        </is>
      </c>
      <c r="I24" s="5" t="inlineStr">
        <is>
          <t xml:space="preserve">0.12/0.14/0.18</t>
        </is>
      </c>
      <c r="J24" s="5" t="inlineStr">
        <is>
          <t xml:space="preserve">SIMULATED</t>
        </is>
      </c>
      <c r="K24" s="5"/>
      <c r="L24" s="5" t="inlineStr">
        <is>
          <t xml:space="preserve">NO_RELIABLE_PUBLIC_BENCHMARK</t>
        </is>
      </c>
      <c r="M24" s="5" t="inlineStr">
        <is>
          <t xml:space="preserve">VietGreen</t>
        </is>
      </c>
      <c r="N24" s="5" t="inlineStr">
        <is>
          <t xml:space="preserve">Internal reviewer</t>
        </is>
      </c>
      <c r="O24" s="5" t="inlineStr">
        <is>
          <t xml:space="preserve">LOCKED</t>
        </is>
      </c>
      <c r="P24" s="5" t="b">
        <v>1</v>
      </c>
      <c r="Q24" s="5" t="inlineStr">
        <is>
          <t xml:space="preserve">HIGH</t>
        </is>
      </c>
      <c r="R24" s="5" t="inlineStr">
        <is>
          <t xml:space="preserve">Registered for sponsor cash flow.</t>
        </is>
      </c>
    </row>
    <row r="25">
      <c r="A25" s="5" t="inlineStr">
        <is>
          <t xml:space="preserve">ASM-DISC-CUSTOMER</t>
        </is>
      </c>
      <c r="B25" s="5" t="inlineStr">
        <is>
          <t xml:space="preserve">Discount rate</t>
        </is>
      </c>
      <c r="C25" s="5" t="inlineStr">
        <is>
          <t xml:space="preserve">Customer NPV rate</t>
        </is>
      </c>
      <c r="D25" s="6">
        <v>0.1</v>
      </c>
      <c r="E25" s="5" t="inlineStr">
        <is>
          <t xml:space="preserve">decimal</t>
        </is>
      </c>
      <c r="F25" s="5" t="inlineStr">
        <is>
          <t xml:space="preserve">VND</t>
        </is>
      </c>
      <c r="G25" s="5" t="inlineStr">
        <is>
          <t xml:space="preserve">nominal</t>
        </is>
      </c>
      <c r="H25" s="5" t="inlineStr">
        <is>
          <t xml:space="preserve">2026-08-31</t>
        </is>
      </c>
      <c r="I25" s="5" t="inlineStr">
        <is>
          <t xml:space="preserve">0.08/0.10/0.12</t>
        </is>
      </c>
      <c r="J25" s="5" t="inlineStr">
        <is>
          <t xml:space="preserve">SIMULATED</t>
        </is>
      </c>
      <c r="K25" s="5"/>
      <c r="L25" s="5" t="inlineStr">
        <is>
          <t xml:space="preserve">NO_RELIABLE_PUBLIC_BENCHMARK</t>
        </is>
      </c>
      <c r="M25" s="5" t="inlineStr">
        <is>
          <t xml:space="preserve">VietGreen</t>
        </is>
      </c>
      <c r="N25" s="5" t="inlineStr">
        <is>
          <t xml:space="preserve">Internal reviewer</t>
        </is>
      </c>
      <c r="O25" s="5" t="inlineStr">
        <is>
          <t xml:space="preserve">LOCKED</t>
        </is>
      </c>
      <c r="P25" s="5" t="b">
        <v>1</v>
      </c>
      <c r="Q25" s="5" t="inlineStr">
        <is>
          <t xml:space="preserve">MEDIUM</t>
        </is>
      </c>
      <c r="R25" s="5" t="inlineStr">
        <is>
          <t xml:space="preserve">Registered for customer value.</t>
        </is>
      </c>
    </row>
    <row r="26">
      <c r="A26" s="5" t="inlineStr">
        <is>
          <t xml:space="preserve">ASM-DISC-LLCR</t>
        </is>
      </c>
      <c r="B26" s="5" t="inlineStr">
        <is>
          <t xml:space="preserve">Discount rate</t>
        </is>
      </c>
      <c r="C26" s="5" t="inlineStr">
        <is>
          <t xml:space="preserve">LLCR discount rate</t>
        </is>
      </c>
      <c r="D26" s="6">
        <v>0.085</v>
      </c>
      <c r="E26" s="5" t="inlineStr">
        <is>
          <t xml:space="preserve">decimal</t>
        </is>
      </c>
      <c r="F26" s="5" t="inlineStr">
        <is>
          <t xml:space="preserve">VND</t>
        </is>
      </c>
      <c r="G26" s="5" t="inlineStr">
        <is>
          <t xml:space="preserve">nominal</t>
        </is>
      </c>
      <c r="H26" s="5" t="inlineStr">
        <is>
          <t xml:space="preserve">2026-08-31</t>
        </is>
      </c>
      <c r="I26" s="5" t="inlineStr">
        <is>
          <t xml:space="preserve">0.07/0.085/0.10</t>
        </is>
      </c>
      <c r="J26" s="5" t="inlineStr">
        <is>
          <t xml:space="preserve">SIMULATED</t>
        </is>
      </c>
      <c r="K26" s="5"/>
      <c r="L26" s="5" t="inlineStr">
        <is>
          <t xml:space="preserve">NO_RELIABLE_PUBLIC_BENCHMARK</t>
        </is>
      </c>
      <c r="M26" s="5" t="inlineStr">
        <is>
          <t xml:space="preserve">VietGreen</t>
        </is>
      </c>
      <c r="N26" s="5" t="inlineStr">
        <is>
          <t xml:space="preserve">Internal reviewer</t>
        </is>
      </c>
      <c r="O26" s="5" t="inlineStr">
        <is>
          <t xml:space="preserve">LOCKED</t>
        </is>
      </c>
      <c r="P26" s="5" t="b">
        <v>1</v>
      </c>
      <c r="Q26" s="5" t="inlineStr">
        <is>
          <t xml:space="preserve">HIGH</t>
        </is>
      </c>
      <c r="R26" s="5" t="inlineStr">
        <is>
          <t xml:space="preserve">Debt-rate-linked simulated input.</t>
        </is>
      </c>
    </row>
    <row r="27">
      <c r="A27" s="5" t="inlineStr">
        <is>
          <t xml:space="preserve">ASM-DISC-PLCR</t>
        </is>
      </c>
      <c r="B27" s="5" t="inlineStr">
        <is>
          <t xml:space="preserve">Discount rate</t>
        </is>
      </c>
      <c r="C27" s="5" t="inlineStr">
        <is>
          <t xml:space="preserve">PLCR discount rate</t>
        </is>
      </c>
      <c r="D27" s="6">
        <v>0.085</v>
      </c>
      <c r="E27" s="5" t="inlineStr">
        <is>
          <t xml:space="preserve">decimal</t>
        </is>
      </c>
      <c r="F27" s="5" t="inlineStr">
        <is>
          <t xml:space="preserve">VND</t>
        </is>
      </c>
      <c r="G27" s="5" t="inlineStr">
        <is>
          <t xml:space="preserve">nominal</t>
        </is>
      </c>
      <c r="H27" s="5" t="inlineStr">
        <is>
          <t xml:space="preserve">2026-08-31</t>
        </is>
      </c>
      <c r="I27" s="5" t="inlineStr">
        <is>
          <t xml:space="preserve">0.07/0.085/0.10</t>
        </is>
      </c>
      <c r="J27" s="5" t="inlineStr">
        <is>
          <t xml:space="preserve">SIMULATED</t>
        </is>
      </c>
      <c r="K27" s="5"/>
      <c r="L27" s="5" t="inlineStr">
        <is>
          <t xml:space="preserve">NO_RELIABLE_PUBLIC_BENCHMARK</t>
        </is>
      </c>
      <c r="M27" s="5" t="inlineStr">
        <is>
          <t xml:space="preserve">VietGreen</t>
        </is>
      </c>
      <c r="N27" s="5" t="inlineStr">
        <is>
          <t xml:space="preserve">Internal reviewer</t>
        </is>
      </c>
      <c r="O27" s="5" t="inlineStr">
        <is>
          <t xml:space="preserve">LOCKED</t>
        </is>
      </c>
      <c r="P27" s="5" t="b">
        <v>1</v>
      </c>
      <c r="Q27" s="5" t="inlineStr">
        <is>
          <t xml:space="preserve">HIGH</t>
        </is>
      </c>
      <c r="R27" s="5" t="inlineStr">
        <is>
          <t xml:space="preserve">Debt-rate-linked simulated input.</t>
        </is>
      </c>
    </row>
    <row r="28">
      <c r="A28" s="5" t="inlineStr">
        <is>
          <t xml:space="preserve">ASM-CONSTRUCTION-MONTHS</t>
        </is>
      </c>
      <c r="B28" s="5" t="inlineStr">
        <is>
          <t xml:space="preserve">Construction</t>
        </is>
      </c>
      <c r="C28" s="5" t="inlineStr">
        <is>
          <t xml:space="preserve">Construction period</t>
        </is>
      </c>
      <c r="D28" s="6">
        <v>12</v>
      </c>
      <c r="E28" s="5" t="inlineStr">
        <is>
          <t xml:space="preserve">months</t>
        </is>
      </c>
      <c r="F28" s="5" t="inlineStr">
        <is>
          <t xml:space="preserve">N/A</t>
        </is>
      </c>
      <c r="G28" s="5" t="inlineStr">
        <is>
          <t xml:space="preserve">nominal</t>
        </is>
      </c>
      <c r="H28" s="5" t="inlineStr">
        <is>
          <t xml:space="preserve">2026-08-31</t>
        </is>
      </c>
      <c r="I28" s="5" t="inlineStr">
        <is>
          <t xml:space="preserve">12/12/18</t>
        </is>
      </c>
      <c r="J28" s="5" t="inlineStr">
        <is>
          <t xml:space="preserve">SIMULATED</t>
        </is>
      </c>
      <c r="K28" s="5"/>
      <c r="L28" s="5" t="inlineStr">
        <is>
          <t xml:space="preserve">NO_RELIABLE_PUBLIC_BENCHMARK</t>
        </is>
      </c>
      <c r="M28" s="5" t="inlineStr">
        <is>
          <t xml:space="preserve">VietGreen</t>
        </is>
      </c>
      <c r="N28" s="5" t="inlineStr">
        <is>
          <t xml:space="preserve">Internal reviewer</t>
        </is>
      </c>
      <c r="O28" s="5" t="inlineStr">
        <is>
          <t xml:space="preserve">LOCKED</t>
        </is>
      </c>
      <c r="P28" s="5" t="b">
        <v>1</v>
      </c>
      <c r="Q28" s="5" t="inlineStr">
        <is>
          <t xml:space="preserve">HIGH</t>
        </is>
      </c>
      <c r="R28" s="5" t="inlineStr">
        <is>
          <t xml:space="preserve">Locked construction timing assumption for IDC.</t>
        </is>
      </c>
    </row>
    <row r="29">
      <c r="A29" s="5" t="inlineStr">
        <is>
          <t xml:space="preserve">ASM-CONSTRUCTION-SCHEDULE</t>
        </is>
      </c>
      <c r="B29" s="5" t="inlineStr">
        <is>
          <t xml:space="preserve">Construction</t>
        </is>
      </c>
      <c r="C29" s="5" t="inlineStr">
        <is>
          <t xml:space="preserve">Monthly construction spend curve</t>
        </is>
      </c>
      <c r="D29" s="6" t="inlineStr">
        <is>
          <t xml:space="preserve">0.05/0.08/0.10/0.12/0.14/0.14/0.12/0.10/0.06/0.04/0.03/0.02</t>
        </is>
      </c>
      <c r="E29" s="5" t="inlineStr">
        <is>
          <t xml:space="preserve">share by month</t>
        </is>
      </c>
      <c r="F29" s="5" t="inlineStr">
        <is>
          <t xml:space="preserve">N/A</t>
        </is>
      </c>
      <c r="G29" s="5" t="inlineStr">
        <is>
          <t xml:space="preserve">nominal</t>
        </is>
      </c>
      <c r="H29" s="5" t="inlineStr">
        <is>
          <t xml:space="preserve">2026-08-31</t>
        </is>
      </c>
      <c r="I29" s="5" t="inlineStr">
        <is>
          <t xml:space="preserve">front-loaded/S-curve/back-loaded</t>
        </is>
      </c>
      <c r="J29" s="5" t="inlineStr">
        <is>
          <t xml:space="preserve">SIMULATED</t>
        </is>
      </c>
      <c r="K29" s="5"/>
      <c r="L29" s="5" t="inlineStr">
        <is>
          <t xml:space="preserve">NO_RELIABLE_PUBLIC_BENCHMARK</t>
        </is>
      </c>
      <c r="M29" s="5" t="inlineStr">
        <is>
          <t xml:space="preserve">VietGreen</t>
        </is>
      </c>
      <c r="N29" s="5" t="inlineStr">
        <is>
          <t xml:space="preserve">Internal reviewer</t>
        </is>
      </c>
      <c r="O29" s="5" t="inlineStr">
        <is>
          <t xml:space="preserve">LOCKED</t>
        </is>
      </c>
      <c r="P29" s="5" t="b">
        <v>1</v>
      </c>
      <c r="Q29" s="5" t="inlineStr">
        <is>
          <t xml:space="preserve">HIGH</t>
        </is>
      </c>
      <c r="R29" s="5" t="inlineStr">
        <is>
          <t xml:space="preserve">Remote synthetic curve; replace with EPC payment schedule before investment committee approval.</t>
        </is>
      </c>
    </row>
    <row r="30">
      <c r="A30" s="5" t="inlineStr">
        <is>
          <t xml:space="preserve">ASM-IDC-RATE</t>
        </is>
      </c>
      <c r="B30" s="5" t="inlineStr">
        <is>
          <t xml:space="preserve">CAPEX</t>
        </is>
      </c>
      <c r="C30" s="5" t="inlineStr">
        <is>
          <t xml:space="preserve">Capitalised construction interest rate</t>
        </is>
      </c>
      <c r="D30" s="6">
        <v>0.085</v>
      </c>
      <c r="E30" s="5" t="inlineStr">
        <is>
          <t xml:space="preserve">decimal</t>
        </is>
      </c>
      <c r="F30" s="5" t="inlineStr">
        <is>
          <t xml:space="preserve">VND</t>
        </is>
      </c>
      <c r="G30" s="5" t="inlineStr">
        <is>
          <t xml:space="preserve">nominal</t>
        </is>
      </c>
      <c r="H30" s="5" t="inlineStr">
        <is>
          <t xml:space="preserve">2026-08-31</t>
        </is>
      </c>
      <c r="I30" s="5" t="inlineStr">
        <is>
          <t xml:space="preserve">0.065/0.085/0.11</t>
        </is>
      </c>
      <c r="J30" s="5" t="inlineStr">
        <is>
          <t xml:space="preserve">SIMULATED</t>
        </is>
      </c>
      <c r="K30" s="5"/>
      <c r="L30" s="5" t="inlineStr">
        <is>
          <t xml:space="preserve">NO_RELIABLE_PUBLIC_BENCHMARK</t>
        </is>
      </c>
      <c r="M30" s="5" t="inlineStr">
        <is>
          <t xml:space="preserve">VietGreen</t>
        </is>
      </c>
      <c r="N30" s="5" t="inlineStr">
        <is>
          <t xml:space="preserve">Internal reviewer</t>
        </is>
      </c>
      <c r="O30" s="5" t="inlineStr">
        <is>
          <t xml:space="preserve">LOCKED</t>
        </is>
      </c>
      <c r="P30" s="5" t="b">
        <v>1</v>
      </c>
      <c r="Q30" s="5" t="inlineStr">
        <is>
          <t xml:space="preserve">HIGH</t>
        </is>
      </c>
      <c r="R30" s="5" t="inlineStr">
        <is>
          <t xml:space="preserve">IDC proxy; replace with committed drawdown curve and financing terms before release.</t>
        </is>
      </c>
    </row>
  </sheetData>
  <autoFilter ref="A1:R30"/>
  <pageMargins left="0.35" right="0.35" top="0.5" bottom="0.5" header="0.2" footer="0.2"/>
</worksheet>
</file>

<file path=xl/worksheets/sheet3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24.00" customWidth="1"/>
    <col min="2" max="2" width="10.80" customWidth="1"/>
    <col min="3" max="3" width="24.00" customWidth="1"/>
    <col min="4" max="4" width="24.00" customWidth="1"/>
    <col min="5" max="5" width="24.00" customWidth="1"/>
    <col min="6" max="6" width="14.40" customWidth="1"/>
    <col min="7" max="7" width="18.00" customWidth="1"/>
    <col min="8" max="8" width="19.80" customWidth="1"/>
    <col min="9" max="9" width="21.60" customWidth="1"/>
    <col min="10" max="10" width="24.00" customWidth="1"/>
    <col min="11" max="11" width="24.00" customWidth="1"/>
    <col min="12" max="12" width="21.60" customWidth="1"/>
    <col min="13" max="13" width="30.60" customWidth="1"/>
    <col min="14" max="14" width="19.80" customWidth="1"/>
    <col min="15" max="15" width="10.00" customWidth="1"/>
    <col min="16" max="16" width="38.00" customWidth="1"/>
  </cols>
  <sheetData>
    <row r="1" ht="30" customHeight="1">
      <c r="A1" s="4" t="inlineStr">
        <is>
          <t xml:space="preserve">rule_id</t>
        </is>
      </c>
      <c r="B1" s="4" t="inlineStr">
        <is>
          <t xml:space="preserve">jurisdiction</t>
        </is>
      </c>
      <c r="C1" s="4" t="inlineStr">
        <is>
          <t xml:space="preserve">regulation_name</t>
        </is>
      </c>
      <c r="D1" s="4" t="inlineStr">
        <is>
          <t xml:space="preserve">regulation_number</t>
        </is>
      </c>
      <c r="E1" s="4" t="inlineStr">
        <is>
          <t xml:space="preserve">issuer</t>
        </is>
      </c>
      <c r="F1" s="4" t="inlineStr">
        <is>
          <t xml:space="preserve">publication_date</t>
        </is>
      </c>
      <c r="G1" s="4" t="inlineStr">
        <is>
          <t xml:space="preserve">legal_effective_from</t>
        </is>
      </c>
      <c r="H1" s="4" t="inlineStr">
        <is>
          <t xml:space="preserve">billing_effective_from</t>
        </is>
      </c>
      <c r="I1" s="4" t="inlineStr">
        <is>
          <t xml:space="preserve">business_model_archetype</t>
        </is>
      </c>
      <c r="J1" s="4" t="inlineStr">
        <is>
          <t xml:space="preserve">project_applicability</t>
        </is>
      </c>
      <c r="K1" s="4" t="inlineStr">
        <is>
          <t xml:space="preserve">financial_model_implication</t>
        </is>
      </c>
      <c r="L1" s="4" t="inlineStr">
        <is>
          <t xml:space="preserve">required_model_switch</t>
        </is>
      </c>
      <c r="M1" s="4" t="inlineStr">
        <is>
          <t xml:space="preserve">source_id</t>
        </is>
      </c>
      <c r="N1" s="4" t="inlineStr">
        <is>
          <t xml:space="preserve">recheck_before_release</t>
        </is>
      </c>
      <c r="O1" s="4" t="inlineStr">
        <is>
          <t xml:space="preserve">status</t>
        </is>
      </c>
      <c r="P1" s="4" t="inlineStr">
        <is>
          <t xml:space="preserve">review_note</t>
        </is>
      </c>
    </row>
    <row r="2">
      <c r="A2" s="5" t="inlineStr">
        <is>
          <t xml:space="preserve">RULE-243</t>
        </is>
      </c>
      <c r="B2" s="5" t="inlineStr">
        <is>
          <t xml:space="preserve">Viet Nam</t>
        </is>
      </c>
      <c r="C2" s="5" t="inlineStr">
        <is>
          <t xml:space="preserve">Decree 243/2026/ND-CP</t>
        </is>
      </c>
      <c r="D2" s="5" t="inlineStr">
        <is>
          <t xml:space="preserve">243/2026/ND-CP</t>
        </is>
      </c>
      <c r="E2" s="5" t="inlineStr">
        <is>
          <t xml:space="preserve">Government</t>
        </is>
      </c>
      <c r="F2" s="5" t="inlineStr">
        <is>
          <t xml:space="preserve">2026-06-26</t>
        </is>
      </c>
      <c r="G2" s="5" t="inlineStr">
        <is>
          <t xml:space="preserve">2026-06-26</t>
        </is>
      </c>
      <c r="H2" s="5"/>
      <c r="I2" s="5" t="inlineStr">
        <is>
          <t xml:space="preserve">all C&amp;I rooftop</t>
        </is>
      </c>
      <c r="J2" s="5" t="inlineStr">
        <is>
          <t xml:space="preserve">Legal mapping required</t>
        </is>
      </c>
      <c r="K2" s="5" t="inlineStr">
        <is>
          <t xml:space="preserve">direct_sale_or_self_consumption</t>
        </is>
      </c>
      <c r="L2" s="5"/>
      <c r="M2" s="5" t="inlineStr">
        <is>
          <t xml:space="preserve">SRC-REG-243</t>
        </is>
      </c>
      <c r="N2" s="5" t="b">
        <v>1</v>
      </c>
      <c r="O2" s="5" t="inlineStr">
        <is>
          <t xml:space="preserve">LOCKED</t>
        </is>
      </c>
      <c r="P2" s="5"/>
    </row>
    <row r="3">
      <c r="A3" s="5" t="inlineStr">
        <is>
          <t xml:space="preserve">RULE-TAR-963</t>
        </is>
      </c>
      <c r="B3" s="5" t="inlineStr">
        <is>
          <t xml:space="preserve">Viet Nam</t>
        </is>
      </c>
      <c r="C3" s="5" t="inlineStr">
        <is>
          <t xml:space="preserve">Decision 963/QD-BCT</t>
        </is>
      </c>
      <c r="D3" s="5" t="inlineStr">
        <is>
          <t xml:space="preserve">963/QD-BCT</t>
        </is>
      </c>
      <c r="E3" s="5" t="inlineStr">
        <is>
          <t xml:space="preserve">MOIT</t>
        </is>
      </c>
      <c r="F3" s="5" t="inlineStr">
        <is>
          <t xml:space="preserve">2026-04-22</t>
        </is>
      </c>
      <c r="G3" s="5" t="inlineStr">
        <is>
          <t xml:space="preserve">2026-04-22</t>
        </is>
      </c>
      <c r="H3" s="5"/>
      <c r="I3" s="5" t="inlineStr">
        <is>
          <t xml:space="preserve">industrial_C&amp;I</t>
        </is>
      </c>
      <c r="J3" s="5" t="inlineStr">
        <is>
          <t xml:space="preserve">Legal time schedule only; billed implementation separate</t>
        </is>
      </c>
      <c r="K3" s="5" t="inlineStr">
        <is>
          <t xml:space="preserve">billing_status</t>
        </is>
      </c>
      <c r="L3" s="5"/>
      <c r="M3" s="5" t="inlineStr">
        <is>
          <t xml:space="preserve">SRC-TAR-963</t>
        </is>
      </c>
      <c r="N3" s="5" t="b">
        <v>1</v>
      </c>
      <c r="O3" s="17" t="inlineStr">
        <is>
          <t xml:space="preserve">WATCH</t>
        </is>
      </c>
      <c r="P3" s="5" t="inlineStr">
        <is>
          <t xml:space="preserve">Effective time window confirmed; billed applicability is not inferred.</t>
        </is>
      </c>
    </row>
    <row r="4">
      <c r="A4" s="5" t="inlineStr">
        <is>
          <t xml:space="preserve">RULE-TAR-60</t>
        </is>
      </c>
      <c r="B4" s="5" t="inlineStr">
        <is>
          <t xml:space="preserve">Viet Nam</t>
        </is>
      </c>
      <c r="C4" s="5" t="inlineStr">
        <is>
          <t xml:space="preserve">Circular 60/2025/TT-BCT</t>
        </is>
      </c>
      <c r="D4" s="5" t="inlineStr">
        <is>
          <t xml:space="preserve">60/2025/TT-BCT</t>
        </is>
      </c>
      <c r="E4" s="5" t="inlineStr">
        <is>
          <t xml:space="preserve">MOIT</t>
        </is>
      </c>
      <c r="F4" s="5" t="inlineStr">
        <is>
          <t xml:space="preserve">2025-12-02</t>
        </is>
      </c>
      <c r="G4" s="5" t="inlineStr">
        <is>
          <t xml:space="preserve">2025-12-02</t>
        </is>
      </c>
      <c r="H4" s="5"/>
      <c r="I4" s="5" t="inlineStr">
        <is>
          <t xml:space="preserve">industrial_C&amp;I</t>
        </is>
      </c>
      <c r="J4" s="5" t="inlineStr">
        <is>
          <t xml:space="preserve">Controlling electricity-pricing implementation rule</t>
        </is>
      </c>
      <c r="K4" s="5" t="inlineStr">
        <is>
          <t xml:space="preserve">billing_effective_from</t>
        </is>
      </c>
      <c r="L4" s="5"/>
      <c r="M4" s="5" t="inlineStr">
        <is>
          <t xml:space="preserve">SRC-TAR-60</t>
        </is>
      </c>
      <c r="N4" s="5" t="b">
        <v>1</v>
      </c>
      <c r="O4" s="5" t="inlineStr">
        <is>
          <t xml:space="preserve">LOCKED</t>
        </is>
      </c>
      <c r="P4" s="5" t="inlineStr">
        <is>
          <t xml:space="preserve">Legal source verified; implementation date remains separately controlled.</t>
        </is>
      </c>
    </row>
    <row r="5">
      <c r="A5" s="5" t="inlineStr">
        <is>
          <t xml:space="preserve">RULE-TAR-IMPLEMENTATION</t>
        </is>
      </c>
      <c r="B5" s="5" t="inlineStr">
        <is>
          <t xml:space="preserve">Viet Nam</t>
        </is>
      </c>
      <c r="C5" s="5" t="inlineStr">
        <is>
          <t xml:space="preserve">Decision 963 implementation notice</t>
        </is>
      </c>
      <c r="D5" s="5" t="inlineStr">
        <is>
          <t xml:space="preserve">EVN/EA notice 2026-04-24</t>
        </is>
      </c>
      <c r="E5" s="5" t="inlineStr">
        <is>
          <t xml:space="preserve">EVN / Electricity Authority</t>
        </is>
      </c>
      <c r="F5" s="5" t="inlineStr">
        <is>
          <t xml:space="preserve">2026-04-24</t>
        </is>
      </c>
      <c r="G5" s="5" t="inlineStr">
        <is>
          <t xml:space="preserve">2026-04-24</t>
        </is>
      </c>
      <c r="H5" s="5"/>
      <c r="I5" s="5" t="inlineStr">
        <is>
          <t xml:space="preserve">industrial_C&amp;I</t>
        </is>
      </c>
      <c r="J5" s="5" t="inlineStr">
        <is>
          <t xml:space="preserve">Application linked to Circular 60 condition</t>
        </is>
      </c>
      <c r="K5" s="5" t="inlineStr">
        <is>
          <t xml:space="preserve">billing_effective_from</t>
        </is>
      </c>
      <c r="L5" s="5"/>
      <c r="M5" s="5" t="inlineStr">
        <is>
          <t xml:space="preserve">SRC-REFRESH-EVN-20260831</t>
        </is>
      </c>
      <c r="N5" s="5" t="b">
        <v>1</v>
      </c>
      <c r="O5" s="17" t="inlineStr">
        <is>
          <t xml:space="preserve">WATCH</t>
        </is>
      </c>
      <c r="P5" s="5" t="inlineStr">
        <is>
          <t xml:space="preserve">Must confirm billed implementation before final release.</t>
        </is>
      </c>
    </row>
    <row r="6">
      <c r="A6" s="5" t="inlineStr">
        <is>
          <t xml:space="preserve">RULE-TAX-067</t>
        </is>
      </c>
      <c r="B6" s="5" t="inlineStr">
        <is>
          <t xml:space="preserve">Viet Nam</t>
        </is>
      </c>
      <c r="C6" s="5" t="inlineStr">
        <is>
          <t xml:space="preserve">CIT Law 67/2025/QH15</t>
        </is>
      </c>
      <c r="D6" s="5" t="inlineStr">
        <is>
          <t xml:space="preserve">67/2025/QH15</t>
        </is>
      </c>
      <c r="E6" s="5" t="inlineStr">
        <is>
          <t xml:space="preserve">National Assembly</t>
        </is>
      </c>
      <c r="F6" s="5" t="inlineStr">
        <is>
          <t xml:space="preserve">2025-06-14</t>
        </is>
      </c>
      <c r="G6" s="5" t="inlineStr">
        <is>
          <t xml:space="preserve">2026-10-01</t>
        </is>
      </c>
      <c r="H6" s="5"/>
      <c r="I6" s="5" t="inlineStr">
        <is>
          <t xml:space="preserve">all SPV</t>
        </is>
      </c>
      <c r="J6" s="5" t="inlineStr">
        <is>
          <t xml:space="preserve">No automatic incentive</t>
        </is>
      </c>
      <c r="K6" s="5" t="inlineStr">
        <is>
          <t xml:space="preserve">tax_rule_version</t>
        </is>
      </c>
      <c r="L6" s="5"/>
      <c r="M6" s="5" t="inlineStr">
        <is>
          <t xml:space="preserve">SRC-TAX-067</t>
        </is>
      </c>
      <c r="N6" s="5" t="b">
        <v>1</v>
      </c>
      <c r="O6" s="5" t="inlineStr">
        <is>
          <t xml:space="preserve">LOCKED</t>
        </is>
      </c>
      <c r="P6" s="5" t="inlineStr">
        <is>
          <t xml:space="preserve">Rechecked immediately before candidate release.</t>
        </is>
      </c>
    </row>
    <row r="7">
      <c r="A7" s="5" t="inlineStr">
        <is>
          <t xml:space="preserve">RULE-TAX-320</t>
        </is>
      </c>
      <c r="B7" s="5" t="inlineStr">
        <is>
          <t xml:space="preserve">Viet Nam</t>
        </is>
      </c>
      <c r="C7" s="5" t="inlineStr">
        <is>
          <t xml:space="preserve">Decree 320/2025/ND-CP</t>
        </is>
      </c>
      <c r="D7" s="5" t="inlineStr">
        <is>
          <t xml:space="preserve">320/2025/ND-CP</t>
        </is>
      </c>
      <c r="E7" s="5" t="inlineStr">
        <is>
          <t xml:space="preserve">Government</t>
        </is>
      </c>
      <c r="F7" s="5" t="inlineStr">
        <is>
          <t xml:space="preserve">2025-12-15</t>
        </is>
      </c>
      <c r="G7" s="5" t="inlineStr">
        <is>
          <t xml:space="preserve">2025-12-15</t>
        </is>
      </c>
      <c r="H7" s="5"/>
      <c r="I7" s="5" t="inlineStr">
        <is>
          <t xml:space="preserve">all SPV</t>
        </is>
      </c>
      <c r="J7" s="5" t="inlineStr">
        <is>
          <t xml:space="preserve">Cash tax and loss carryforward</t>
        </is>
      </c>
      <c r="K7" s="5" t="inlineStr">
        <is>
          <t xml:space="preserve">tax_rule_version</t>
        </is>
      </c>
      <c r="L7" s="5"/>
      <c r="M7" s="5" t="inlineStr">
        <is>
          <t xml:space="preserve">SRC-TAX-320</t>
        </is>
      </c>
      <c r="N7" s="5" t="b">
        <v>1</v>
      </c>
      <c r="O7" s="5" t="inlineStr">
        <is>
          <t xml:space="preserve">LOCKED</t>
        </is>
      </c>
      <c r="P7" s="5" t="inlineStr">
        <is>
          <t xml:space="preserve">Rechecked immediately before candidate release.</t>
        </is>
      </c>
    </row>
    <row r="8">
      <c r="A8" s="5" t="inlineStr">
        <is>
          <t xml:space="preserve">RULE-TAX-141</t>
        </is>
      </c>
      <c r="B8" s="5" t="inlineStr">
        <is>
          <t xml:space="preserve">Viet Nam</t>
        </is>
      </c>
      <c r="C8" s="5" t="inlineStr">
        <is>
          <t xml:space="preserve">Decree 141/2026/ND-CP</t>
        </is>
      </c>
      <c r="D8" s="5" t="inlineStr">
        <is>
          <t xml:space="preserve">141/2026/ND-CP</t>
        </is>
      </c>
      <c r="E8" s="5" t="inlineStr">
        <is>
          <t xml:space="preserve">Government</t>
        </is>
      </c>
      <c r="F8" s="5" t="inlineStr">
        <is>
          <t xml:space="preserve">2026-07-01</t>
        </is>
      </c>
      <c r="G8" s="5" t="inlineStr">
        <is>
          <t xml:space="preserve">2026-07-01</t>
        </is>
      </c>
      <c r="H8" s="5"/>
      <c r="I8" s="5" t="inlineStr">
        <is>
          <t xml:space="preserve">all SPV</t>
        </is>
      </c>
      <c r="J8" s="5" t="inlineStr">
        <is>
          <t xml:space="preserve">Tax amendment and implementation context</t>
        </is>
      </c>
      <c r="K8" s="5" t="inlineStr">
        <is>
          <t xml:space="preserve">tax_rule_version</t>
        </is>
      </c>
      <c r="L8" s="5"/>
      <c r="M8" s="5" t="inlineStr">
        <is>
          <t xml:space="preserve">SRC-TAX-141</t>
        </is>
      </c>
      <c r="N8" s="5" t="b">
        <v>1</v>
      </c>
      <c r="O8" s="5" t="inlineStr">
        <is>
          <t xml:space="preserve">LOCKED</t>
        </is>
      </c>
      <c r="P8" s="5" t="inlineStr">
        <is>
          <t xml:space="preserve">Rechecked immediately before candidate release.</t>
        </is>
      </c>
    </row>
    <row r="9">
      <c r="A9" s="5" t="inlineStr">
        <is>
          <t xml:space="preserve">RULE-TAX-020</t>
        </is>
      </c>
      <c r="B9" s="5" t="inlineStr">
        <is>
          <t xml:space="preserve">Viet Nam</t>
        </is>
      </c>
      <c r="C9" s="5" t="inlineStr">
        <is>
          <t xml:space="preserve">Circular 20/2026/TT-BTC</t>
        </is>
      </c>
      <c r="D9" s="5" t="inlineStr">
        <is>
          <t xml:space="preserve">20/2026/TT-BTC</t>
        </is>
      </c>
      <c r="E9" s="5" t="inlineStr">
        <is>
          <t xml:space="preserve">Ministry of Finance</t>
        </is>
      </c>
      <c r="F9" s="5" t="inlineStr">
        <is>
          <t xml:space="preserve">2026-06-01</t>
        </is>
      </c>
      <c r="G9" s="5" t="inlineStr">
        <is>
          <t xml:space="preserve">2026-06-01</t>
        </is>
      </c>
      <c r="H9" s="5"/>
      <c r="I9" s="5" t="inlineStr">
        <is>
          <t xml:space="preserve">all SPV</t>
        </is>
      </c>
      <c r="J9" s="5" t="inlineStr">
        <is>
          <t xml:space="preserve">Tax guidance and reporting context</t>
        </is>
      </c>
      <c r="K9" s="5" t="inlineStr">
        <is>
          <t xml:space="preserve">tax_rule_version</t>
        </is>
      </c>
      <c r="L9" s="5"/>
      <c r="M9" s="5" t="inlineStr">
        <is>
          <t xml:space="preserve">SRC-TAX-020</t>
        </is>
      </c>
      <c r="N9" s="5" t="b">
        <v>1</v>
      </c>
      <c r="O9" s="5" t="inlineStr">
        <is>
          <t xml:space="preserve">LOCKED</t>
        </is>
      </c>
      <c r="P9" s="5" t="inlineStr">
        <is>
          <t xml:space="preserve">Rechecked immediately before candidate release.</t>
        </is>
      </c>
    </row>
    <row r="10">
      <c r="A10" s="5" t="inlineStr">
        <is>
          <t xml:space="preserve">RULE-FX-008</t>
        </is>
      </c>
      <c r="B10" s="5" t="inlineStr">
        <is>
          <t xml:space="preserve">Viet Nam</t>
        </is>
      </c>
      <c r="C10" s="5" t="inlineStr">
        <is>
          <t xml:space="preserve">Circular 08/2023/TT-NHNN</t>
        </is>
      </c>
      <c r="D10" s="5" t="inlineStr">
        <is>
          <t xml:space="preserve">08/2023/TT-NHNN</t>
        </is>
      </c>
      <c r="E10" s="5" t="inlineStr">
        <is>
          <t xml:space="preserve">State Bank</t>
        </is>
      </c>
      <c r="F10" s="5" t="inlineStr">
        <is>
          <t xml:space="preserve">2023-08-15</t>
        </is>
      </c>
      <c r="G10" s="5" t="inlineStr">
        <is>
          <t xml:space="preserve">2023-08-15</t>
        </is>
      </c>
      <c r="H10" s="5"/>
      <c r="I10" s="5" t="inlineStr">
        <is>
          <t xml:space="preserve">foreign borrowing</t>
        </is>
      </c>
      <c r="J10" s="5" t="inlineStr">
        <is>
          <t xml:space="preserve">Legal review required</t>
        </is>
      </c>
      <c r="K10" s="5" t="inlineStr">
        <is>
          <t xml:space="preserve">foreign_borrowing_eligibility</t>
        </is>
      </c>
      <c r="L10" s="5"/>
      <c r="M10" s="5" t="inlineStr">
        <is>
          <t xml:space="preserve">SRC-FX-008</t>
        </is>
      </c>
      <c r="N10" s="5" t="b">
        <v>1</v>
      </c>
      <c r="O10" s="5" t="inlineStr">
        <is>
          <t xml:space="preserve">LOCKED</t>
        </is>
      </c>
      <c r="P10" s="5" t="inlineStr">
        <is>
          <t xml:space="preserve">Current source register entry.</t>
        </is>
      </c>
    </row>
    <row r="11">
      <c r="A11" s="5" t="inlineStr">
        <is>
          <t xml:space="preserve">RULE-FX-019</t>
        </is>
      </c>
      <c r="B11" s="5" t="inlineStr">
        <is>
          <t xml:space="preserve">Viet Nam</t>
        </is>
      </c>
      <c r="C11" s="5" t="inlineStr">
        <is>
          <t xml:space="preserve">Circular 19/2024/TT-NHNN</t>
        </is>
      </c>
      <c r="D11" s="5" t="inlineStr">
        <is>
          <t xml:space="preserve">19/2024/TT-NHNN</t>
        </is>
      </c>
      <c r="E11" s="5" t="inlineStr">
        <is>
          <t xml:space="preserve">State Bank</t>
        </is>
      </c>
      <c r="F11" s="5" t="inlineStr">
        <is>
          <t xml:space="preserve">2024-06-28</t>
        </is>
      </c>
      <c r="G11" s="5" t="inlineStr">
        <is>
          <t xml:space="preserve">2024-08-15</t>
        </is>
      </c>
      <c r="H11" s="5"/>
      <c r="I11" s="5" t="inlineStr">
        <is>
          <t xml:space="preserve">foreign borrowing</t>
        </is>
      </c>
      <c r="J11" s="5" t="inlineStr">
        <is>
          <t xml:space="preserve">Amendment-aware legal review</t>
        </is>
      </c>
      <c r="K11" s="5" t="inlineStr">
        <is>
          <t xml:space="preserve">foreign_borrowing_eligibility</t>
        </is>
      </c>
      <c r="L11" s="5"/>
      <c r="M11" s="5" t="inlineStr">
        <is>
          <t xml:space="preserve">SRC-FX-019</t>
        </is>
      </c>
      <c r="N11" s="5" t="b">
        <v>1</v>
      </c>
      <c r="O11" s="5" t="inlineStr">
        <is>
          <t xml:space="preserve">LOCKED</t>
        </is>
      </c>
      <c r="P11" s="5" t="inlineStr">
        <is>
          <t xml:space="preserve">Read with Circular 08 and transaction-specific advice.</t>
        </is>
      </c>
    </row>
    <row r="12">
      <c r="A12" s="5" t="inlineStr">
        <is>
          <t xml:space="preserve">RULE-TAR-CURRENT-BILLING</t>
        </is>
      </c>
      <c r="B12" s="5" t="inlineStr">
        <is>
          <t xml:space="preserve">Viet Nam</t>
        </is>
      </c>
      <c r="C12" s="5" t="inlineStr">
        <is>
          <t xml:space="preserve">Current billed TOU reference in practice</t>
        </is>
      </c>
      <c r="D12" s="5" t="inlineStr">
        <is>
          <t xml:space="preserve">MOIT Q2 2026 briefing</t>
        </is>
      </c>
      <c r="E12" s="5" t="inlineStr">
        <is>
          <t xml:space="preserve">MOIT</t>
        </is>
      </c>
      <c r="F12" s="5" t="inlineStr">
        <is>
          <t xml:space="preserve">2026-07-09</t>
        </is>
      </c>
      <c r="G12" s="5"/>
      <c r="H12" s="5"/>
      <c r="I12" s="5" t="inlineStr">
        <is>
          <t xml:space="preserve">industrial_C&amp;I</t>
        </is>
      </c>
      <c r="J12" s="5" t="inlineStr">
        <is>
          <t xml:space="preserve">Current reference only; not a new legal effective date</t>
        </is>
      </c>
      <c r="K12" s="5" t="inlineStr">
        <is>
          <t xml:space="preserve">billing_status</t>
        </is>
      </c>
      <c r="L12" s="5" t="inlineStr">
        <is>
          <t xml:space="preserve">current_billed_reference</t>
        </is>
      </c>
      <c r="M12" s="5" t="inlineStr">
        <is>
          <t xml:space="preserve">SRC-REFRESH-MOIT-20260709</t>
        </is>
      </c>
      <c r="N12" s="5" t="b">
        <v>1</v>
      </c>
      <c r="O12" s="17" t="inlineStr">
        <is>
          <t xml:space="preserve">WATCH</t>
        </is>
      </c>
      <c r="P12" s="5" t="inlineStr">
        <is>
          <t xml:space="preserve">Use only to separate current billed implementation from Decision 963 legal windows; confirm with EVN/Circular 60 before final release.</t>
        </is>
      </c>
    </row>
    <row r="13">
      <c r="A13" s="5" t="inlineStr">
        <is>
          <t xml:space="preserve">RULE-TAR-EVN-20260730</t>
        </is>
      </c>
      <c r="B13" s="5" t="inlineStr">
        <is>
          <t xml:space="preserve">Viet Nam</t>
        </is>
      </c>
      <c r="C13" s="5" t="inlineStr">
        <is>
          <t xml:space="preserve">EVN public explainer for Decision 963 implementation</t>
        </is>
      </c>
      <c r="D13" s="5" t="inlineStr">
        <is>
          <t xml:space="preserve">EVN article 2026-07-30</t>
        </is>
      </c>
      <c r="E13" s="5" t="inlineStr">
        <is>
          <t xml:space="preserve">EVN</t>
        </is>
      </c>
      <c r="F13" s="5" t="inlineStr">
        <is>
          <t xml:space="preserve">2026-07-30</t>
        </is>
      </c>
      <c r="G13" s="5"/>
      <c r="H13" s="5"/>
      <c r="I13" s="5" t="inlineStr">
        <is>
          <t xml:space="preserve">industrial_C&amp;I</t>
        </is>
      </c>
      <c r="J13" s="5" t="inlineStr">
        <is>
          <t xml:space="preserve">Implementation context only; billed implementation separate</t>
        </is>
      </c>
      <c r="K13" s="5" t="inlineStr">
        <is>
          <t xml:space="preserve">billing_effective_from</t>
        </is>
      </c>
      <c r="L13" s="5"/>
      <c r="M13" s="5" t="inlineStr">
        <is>
          <t xml:space="preserve">SRC-REFRESH-EVN-20260730</t>
        </is>
      </c>
      <c r="N13" s="5" t="b">
        <v>1</v>
      </c>
      <c r="O13" s="17" t="inlineStr">
        <is>
          <t xml:space="preserve">WATCH</t>
        </is>
      </c>
      <c r="P13" s="5" t="inlineStr">
        <is>
          <t xml:space="preserve">Newer official explainer describes schedule and TOU scope but does not document invoice cutover.</t>
        </is>
      </c>
    </row>
    <row r="14">
      <c r="A14" s="5" t="inlineStr">
        <is>
          <t xml:space="preserve">RULE-TAX-DRAFT-20260828</t>
        </is>
      </c>
      <c r="B14" s="5" t="inlineStr">
        <is>
          <t xml:space="preserve">Viet Nam</t>
        </is>
      </c>
      <c r="C14" s="5" t="inlineStr">
        <is>
          <t xml:space="preserve">Draft amendment to Decree 320/2025</t>
        </is>
      </c>
      <c r="D14" s="5" t="inlineStr">
        <is>
          <t xml:space="preserve">Proposed amendment to Decree 320/2025</t>
        </is>
      </c>
      <c r="E14" s="5" t="inlineStr">
        <is>
          <t xml:space="preserve">Ministry of Finance / Government Portal</t>
        </is>
      </c>
      <c r="F14" s="5" t="inlineStr">
        <is>
          <t xml:space="preserve">2026-08-28</t>
        </is>
      </c>
      <c r="G14" s="5"/>
      <c r="H14" s="5"/>
      <c r="I14" s="5" t="inlineStr">
        <is>
          <t xml:space="preserve">all SPV</t>
        </is>
      </c>
      <c r="J14" s="5" t="inlineStr">
        <is>
          <t xml:space="preserve">Proposed amendment; not effective</t>
        </is>
      </c>
      <c r="K14" s="5" t="inlineStr">
        <is>
          <t xml:space="preserve">tax_rule_version</t>
        </is>
      </c>
      <c r="L14" s="5"/>
      <c r="M14" s="5" t="inlineStr">
        <is>
          <t xml:space="preserve">SRC-REFRESH-TAX-20260831</t>
        </is>
      </c>
      <c r="N14" s="5" t="b">
        <v>1</v>
      </c>
      <c r="O14" s="17" t="inlineStr">
        <is>
          <t xml:space="preserve">WATCH</t>
        </is>
      </c>
      <c r="P14" s="5" t="inlineStr">
        <is>
          <t xml:space="preserve">Official draft consultation published 2026-08-28; not legally effective; monitor before release.</t>
        </is>
      </c>
    </row>
    <row r="15">
      <c r="A15" s="5" t="inlineStr">
        <is>
          <t xml:space="preserve">RULE-TAR-EVN-BULLETIN-20260428</t>
        </is>
      </c>
      <c r="B15" s="5" t="inlineStr">
        <is>
          <t xml:space="preserve">Viet Nam</t>
        </is>
      </c>
      <c r="C15" s="5" t="inlineStr">
        <is>
          <t xml:space="preserve">EVN Bulletin No. 16/2026 on Decision 963 timing</t>
        </is>
      </c>
      <c r="D15" s="5" t="inlineStr">
        <is>
          <t xml:space="preserve">EVN Bulletin 16/2026</t>
        </is>
      </c>
      <c r="E15" s="5" t="inlineStr">
        <is>
          <t xml:space="preserve">EVN</t>
        </is>
      </c>
      <c r="F15" s="5" t="inlineStr">
        <is>
          <t xml:space="preserve">2026-04-28</t>
        </is>
      </c>
      <c r="G15" s="5" t="inlineStr">
        <is>
          <t xml:space="preserve">2026-04-28</t>
        </is>
      </c>
      <c r="H15" s="5"/>
      <c r="I15" s="5" t="inlineStr">
        <is>
          <t xml:space="preserve">industrial_C&amp;I</t>
        </is>
      </c>
      <c r="J15" s="5" t="inlineStr">
        <is>
          <t xml:space="preserve">Implementation timing context; billed implementation separate</t>
        </is>
      </c>
      <c r="K15" s="5" t="inlineStr">
        <is>
          <t xml:space="preserve">billing_status</t>
        </is>
      </c>
      <c r="L15" s="5"/>
      <c r="M15" s="5" t="inlineStr">
        <is>
          <t xml:space="preserve">SRC-REFRESH-EVN-BULLETIN-20260831</t>
        </is>
      </c>
      <c r="N15" s="5" t="b">
        <v>1</v>
      </c>
      <c r="O15" s="17" t="inlineStr">
        <is>
          <t xml:space="preserve">WATCH</t>
        </is>
      </c>
      <c r="P15" s="5" t="inlineStr">
        <is>
          <t xml:space="preserve">EVN states application is tied to the next relevant average retail-price adjustment; this is not an invoice cutover confirmation.</t>
        </is>
      </c>
    </row>
    <row r="16">
      <c r="A16" s="5" t="inlineStr">
        <is>
          <t xml:space="preserve">RULE-TAR-278</t>
        </is>
      </c>
      <c r="B16" s="5" t="inlineStr">
        <is>
          <t xml:space="preserve">Viet Nam</t>
        </is>
      </c>
      <c r="C16" s="5" t="inlineStr">
        <is>
          <t xml:space="preserve">Decree 278/2026/ND-CP on average retail electricity price adjustment</t>
        </is>
      </c>
      <c r="D16" s="5" t="inlineStr">
        <is>
          <t xml:space="preserve">278/2026/ND-CP</t>
        </is>
      </c>
      <c r="E16" s="5" t="inlineStr">
        <is>
          <t xml:space="preserve">Government</t>
        </is>
      </c>
      <c r="F16" s="5" t="inlineStr">
        <is>
          <t xml:space="preserve">2026-07-09</t>
        </is>
      </c>
      <c r="G16" s="5" t="inlineStr">
        <is>
          <t xml:space="preserve">2026-07-09</t>
        </is>
      </c>
      <c r="H16" s="5"/>
      <c r="I16" s="5" t="inlineStr">
        <is>
          <t xml:space="preserve">industrial_C&amp;I</t>
        </is>
      </c>
      <c r="J16" s="5" t="inlineStr">
        <is>
          <t xml:space="preserve">Controls average retail-price adjustment timing relevant to TOU implementation</t>
        </is>
      </c>
      <c r="K16" s="5" t="inlineStr">
        <is>
          <t xml:space="preserve">billing_effective_from</t>
        </is>
      </c>
      <c r="L16" s="5"/>
      <c r="M16" s="5" t="inlineStr">
        <is>
          <t xml:space="preserve">SRC-TAR-278</t>
        </is>
      </c>
      <c r="N16" s="5" t="b">
        <v>1</v>
      </c>
      <c r="O16" s="5" t="inlineStr">
        <is>
          <t xml:space="preserve">LOCKED</t>
        </is>
      </c>
      <c r="P16" s="5" t="inlineStr">
        <is>
          <t xml:space="preserve">Legal dependency in the Decision 963/Circular 60 implementation chain; does not by itself prove invoice cutover.</t>
        </is>
      </c>
    </row>
    <row r="17">
      <c r="A17" s="5" t="inlineStr">
        <is>
          <t xml:space="preserve">RULE-TAR-MOIT-20260611</t>
        </is>
      </c>
      <c r="B17" s="5" t="inlineStr">
        <is>
          <t xml:space="preserve">Viet Nam</t>
        </is>
      </c>
      <c r="C17" s="5" t="inlineStr">
        <is>
          <t xml:space="preserve">MOIT public briefing on Decision 963 implementation</t>
        </is>
      </c>
      <c r="D17" s="5" t="inlineStr">
        <is>
          <t xml:space="preserve">MOIT briefing 2026-06-11</t>
        </is>
      </c>
      <c r="E17" s="5" t="inlineStr">
        <is>
          <t xml:space="preserve">MOIT</t>
        </is>
      </c>
      <c r="F17" s="5" t="inlineStr">
        <is>
          <t xml:space="preserve">2026-06-11</t>
        </is>
      </c>
      <c r="G17" s="5"/>
      <c r="H17" s="5"/>
      <c r="I17" s="5" t="inlineStr">
        <is>
          <t xml:space="preserve">industrial_C&amp;I</t>
        </is>
      </c>
      <c r="J17" s="5" t="inlineStr">
        <is>
          <t xml:space="preserve">Historical implementation status; not a current billing effective date</t>
        </is>
      </c>
      <c r="K17" s="5" t="inlineStr">
        <is>
          <t xml:space="preserve">billing_status</t>
        </is>
      </c>
      <c r="L17" s="5"/>
      <c r="M17" s="5" t="inlineStr">
        <is>
          <t xml:space="preserve">SRC-REFRESH-MOIT-20260611</t>
        </is>
      </c>
      <c r="N17" s="5" t="b">
        <v>1</v>
      </c>
      <c r="O17" s="17" t="inlineStr">
        <is>
          <t xml:space="preserve">WATCH</t>
        </is>
      </c>
      <c r="P17" s="5" t="inlineStr">
        <is>
          <t xml:space="preserve">MOIT page quotes EVN that new windows had not yet been applied and were awaiting Circular 60 amendment; not invoice cutover proof.</t>
        </is>
      </c>
    </row>
    <row r="18">
      <c r="A18" s="5" t="inlineStr">
        <is>
          <t xml:space="preserve">RULE-TAR-EVNSPC-20260715</t>
        </is>
      </c>
      <c r="B18" s="5" t="inlineStr">
        <is>
          <t xml:space="preserve">Viet Nam</t>
        </is>
      </c>
      <c r="C18" s="5" t="inlineStr">
        <is>
          <t xml:space="preserve">EVNSPC public notice on new time-of-use periods</t>
        </is>
      </c>
      <c r="D18" s="5" t="inlineStr">
        <is>
          <t xml:space="preserve">EVNSPC CSKH notice 2026-07-15</t>
        </is>
      </c>
      <c r="E18" s="5" t="inlineStr">
        <is>
          <t xml:space="preserve">EVNSPC</t>
        </is>
      </c>
      <c r="F18" s="5" t="inlineStr">
        <is>
          <t xml:space="preserve">2026-07-15</t>
        </is>
      </c>
      <c r="G18" s="5"/>
      <c r="H18" s="5"/>
      <c r="I18" s="5" t="inlineStr">
        <is>
          <t xml:space="preserve">industrial_C&amp;I</t>
        </is>
      </c>
      <c r="J18" s="5" t="inlineStr">
        <is>
          <t xml:space="preserve">Utility implementation context; not a customer-specific invoice effective date</t>
        </is>
      </c>
      <c r="K18" s="5" t="inlineStr">
        <is>
          <t xml:space="preserve">billing_status</t>
        </is>
      </c>
      <c r="L18" s="5"/>
      <c r="M18" s="5" t="inlineStr">
        <is>
          <t xml:space="preserve">SRC-REFRESH-EVNSPC-20260715</t>
        </is>
      </c>
      <c r="N18" s="5" t="b">
        <v>1</v>
      </c>
      <c r="O18" s="17" t="inlineStr">
        <is>
          <t xml:space="preserve">WATCH</t>
        </is>
      </c>
      <c r="P18" s="5" t="inlineStr">
        <is>
          <t xml:space="preserve">Page states new periods apply from 2026-04-22 but does not evidence a modeled-customer bill or invoice period.</t>
        </is>
      </c>
    </row>
    <row r="19">
      <c r="A19" s="5" t="inlineStr">
        <is>
          <t xml:space="preserve">RULE-TAR-EVNSPC-PRICING</t>
        </is>
      </c>
      <c r="B19" s="5" t="inlineStr">
        <is>
          <t xml:space="preserve">Viet Nam</t>
        </is>
      </c>
      <c r="C19" s="5" t="inlineStr">
        <is>
          <t xml:space="preserve">EVNSPC electricity pricing information portal</t>
        </is>
      </c>
      <c r="D19" s="5" t="inlineStr">
        <is>
          <t xml:space="preserve">EVNSPC pricing portal</t>
        </is>
      </c>
      <c r="E19" s="5" t="inlineStr">
        <is>
          <t xml:space="preserve">EVNSPC</t>
        </is>
      </c>
      <c r="F19" s="5"/>
      <c r="G19" s="5"/>
      <c r="H19" s="5"/>
      <c r="I19" s="5" t="inlineStr">
        <is>
          <t xml:space="preserve">industrial_C&amp;I</t>
        </is>
      </c>
      <c r="J19" s="5" t="inlineStr">
        <is>
          <t xml:space="preserve">Utility pricing-page context; customer-class invoice confirmation remains separate</t>
        </is>
      </c>
      <c r="K19" s="5" t="inlineStr">
        <is>
          <t xml:space="preserve">billing_status</t>
        </is>
      </c>
      <c r="L19" s="5"/>
      <c r="M19" s="5" t="inlineStr">
        <is>
          <t xml:space="preserve">SRC-REFRESH-EVNSPC-PRICING-20260831</t>
        </is>
      </c>
      <c r="N19" s="5" t="b">
        <v>1</v>
      </c>
      <c r="O19" s="17" t="inlineStr">
        <is>
          <t xml:space="preserve">WATCH</t>
        </is>
      </c>
      <c r="P19" s="5" t="inlineStr">
        <is>
          <t xml:space="preserve">Portal lists Decision 963 periods as applying from 2026-04-22; no invoice sample or customer account evidence.</t>
        </is>
      </c>
    </row>
    <row r="20">
      <c r="A20" s="5" t="inlineStr">
        <is>
          <t xml:space="preserve">RULE-TAR-EVNSPC-TRAINING</t>
        </is>
      </c>
      <c r="B20" s="5" t="inlineStr">
        <is>
          <t xml:space="preserve">Viet Nam</t>
        </is>
      </c>
      <c r="C20" s="5" t="inlineStr">
        <is>
          <t xml:space="preserve">EVNSPC meter reprogramming training for Decision 963</t>
        </is>
      </c>
      <c r="D20" s="5" t="inlineStr">
        <is>
          <t xml:space="preserve">EVNSPC training 2026-05-27</t>
        </is>
      </c>
      <c r="E20" s="5" t="inlineStr">
        <is>
          <t xml:space="preserve">EVNSPC</t>
        </is>
      </c>
      <c r="F20" s="5" t="inlineStr">
        <is>
          <t xml:space="preserve">2026-05-27</t>
        </is>
      </c>
      <c r="G20" s="5"/>
      <c r="H20" s="5"/>
      <c r="I20" s="5" t="inlineStr">
        <is>
          <t xml:space="preserve">industrial_C&amp;I</t>
        </is>
      </c>
      <c r="J20" s="5" t="inlineStr">
        <is>
          <t xml:space="preserve">Implementation preparation; billed implementation separate</t>
        </is>
      </c>
      <c r="K20" s="5" t="inlineStr">
        <is>
          <t xml:space="preserve">billing_status</t>
        </is>
      </c>
      <c r="L20" s="5"/>
      <c r="M20" s="5" t="inlineStr">
        <is>
          <t xml:space="preserve">SRC-REFRESH-EVNSPC-TRAINING-20260527</t>
        </is>
      </c>
      <c r="N20" s="5" t="b">
        <v>1</v>
      </c>
      <c r="O20" s="17" t="inlineStr">
        <is>
          <t xml:space="preserve">WATCH</t>
        </is>
      </c>
      <c r="P20" s="5" t="inlineStr">
        <is>
          <t xml:space="preserve">EVNSPC describes planned meter reprogramming and priority for large production customers; no invoice cutover evidence.</t>
        </is>
      </c>
    </row>
    <row r="21">
      <c r="A21" s="5" t="inlineStr">
        <is>
          <t xml:space="preserve">RULE-TAR-EVNSPC-IT-20260525</t>
        </is>
      </c>
      <c r="B21" s="5" t="inlineStr">
        <is>
          <t xml:space="preserve">Viet Nam</t>
        </is>
      </c>
      <c r="C21" s="5" t="inlineStr">
        <is>
          <t xml:space="preserve">EVNSPC IT readiness for Decision 963</t>
        </is>
      </c>
      <c r="D21" s="5" t="inlineStr">
        <is>
          <t xml:space="preserve">EVNSPC IT working session 2026-05-25</t>
        </is>
      </c>
      <c r="E21" s="5" t="inlineStr">
        <is>
          <t xml:space="preserve">EVNSPC IT</t>
        </is>
      </c>
      <c r="F21" s="5" t="inlineStr">
        <is>
          <t xml:space="preserve">2026-05-25</t>
        </is>
      </c>
      <c r="G21" s="5"/>
      <c r="H21" s="5"/>
      <c r="I21" s="5" t="inlineStr">
        <is>
          <t xml:space="preserve">industrial_C&amp;I</t>
        </is>
      </c>
      <c r="J21" s="5" t="inlineStr">
        <is>
          <t xml:space="preserve">System readiness and paper invoice-testing context; billed implementation separate</t>
        </is>
      </c>
      <c r="K21" s="5" t="inlineStr">
        <is>
          <t xml:space="preserve">billing_status</t>
        </is>
      </c>
      <c r="L21" s="5"/>
      <c r="M21" s="5" t="inlineStr">
        <is>
          <t xml:space="preserve">SRC-REFRESH-EVNSPC-IT-20260525</t>
        </is>
      </c>
      <c r="N21" s="5" t="b">
        <v>1</v>
      </c>
      <c r="O21" s="17" t="inlineStr">
        <is>
          <t xml:space="preserve">WATCH</t>
        </is>
      </c>
      <c r="P21" s="5" t="inlineStr">
        <is>
          <t xml:space="preserve">EVNSPC IT describes paper testing of two-component invoices and system readiness; no production invoice cutover evidence.</t>
        </is>
      </c>
    </row>
  </sheetData>
  <autoFilter ref="A1:P21"/>
  <pageMargins left="0.35" right="0.35" top="0.5" bottom="0.5" header="0.2" footer="0.2"/>
</worksheet>
</file>

<file path=xl/worksheets/sheet4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21.60" customWidth="1"/>
    <col min="3" max="3" width="10.00" customWidth="1"/>
    <col min="4" max="4" width="15.30" customWidth="1"/>
    <col min="5" max="5" width="13.50" customWidth="1"/>
    <col min="6" max="6" width="10.00" customWidth="1"/>
    <col min="7" max="7" width="13.50" customWidth="1"/>
    <col min="8" max="8" width="10.00" customWidth="1"/>
    <col min="9" max="9" width="24.00" customWidth="1"/>
    <col min="10" max="10" width="10.80" customWidth="1"/>
    <col min="11" max="11" width="18.90" customWidth="1"/>
    <col min="12" max="12" width="14.40" customWidth="1"/>
    <col min="13" max="13" width="18.90" customWidth="1"/>
    <col min="14" max="14" width="18.90" customWidth="1"/>
    <col min="15" max="15" width="13.50" customWidth="1"/>
    <col min="16" max="16" width="16.20" customWidth="1"/>
    <col min="17" max="17" width="13.50" customWidth="1"/>
    <col min="18" max="18" width="13.50" customWidth="1"/>
    <col min="19" max="19" width="18.90" customWidth="1"/>
    <col min="20" max="20" width="12.60" customWidth="1"/>
    <col min="21" max="21" width="14.40" customWidth="1"/>
    <col min="22" max="22" width="10.00" customWidth="1"/>
    <col min="23" max="23" width="10.80" customWidth="1"/>
    <col min="24" max="24" width="12.60" customWidth="1"/>
    <col min="25" max="25" width="10.00" customWidth="1"/>
    <col min="26" max="26" width="10.00" customWidth="1"/>
    <col min="27" max="27" width="11.70" customWidth="1"/>
    <col min="28" max="28" width="19.80" customWidth="1"/>
    <col min="29" max="29" width="24.00" customWidth="1"/>
    <col min="30" max="30" width="15.30" customWidth="1"/>
    <col min="31" max="31" width="21.60" customWidth="1"/>
    <col min="32" max="32" width="18.90" customWidth="1"/>
    <col min="33" max="33" width="18.00" customWidth="1"/>
    <col min="34" max="34" width="18.7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project_name</t>
        </is>
      </c>
      <c r="C1" s="4" t="inlineStr">
        <is>
          <t xml:space="preserve">region</t>
        </is>
      </c>
      <c r="D1" s="4" t="inlineStr">
        <is>
          <t xml:space="preserve">province</t>
        </is>
      </c>
      <c r="E1" s="4" t="inlineStr">
        <is>
          <t xml:space="preserve">industry</t>
        </is>
      </c>
      <c r="F1" s="4" t="inlineStr">
        <is>
          <t xml:space="preserve">offtaker_id</t>
        </is>
      </c>
      <c r="G1" s="4" t="inlineStr">
        <is>
          <t xml:space="preserve">parent_group_id</t>
        </is>
      </c>
      <c r="H1" s="4" t="inlineStr">
        <is>
          <t xml:space="preserve">site_id</t>
        </is>
      </c>
      <c r="I1" s="4" t="inlineStr">
        <is>
          <t xml:space="preserve">business_model_archetype</t>
        </is>
      </c>
      <c r="J1" s="4" t="inlineStr">
        <is>
          <t xml:space="preserve">credit_grade</t>
        </is>
      </c>
      <c r="K1" s="4" t="inlineStr">
        <is>
          <t xml:space="preserve">site_continuity_grade</t>
        </is>
      </c>
      <c r="L1" s="4" t="inlineStr">
        <is>
          <t xml:space="preserve">technical_status</t>
        </is>
      </c>
      <c r="M1" s="4" t="inlineStr">
        <is>
          <t xml:space="preserve">feasible_capacity_kwp</t>
        </is>
      </c>
      <c r="N1" s="4" t="inlineStr">
        <is>
          <t xml:space="preserve">proposed_capacity_kwp</t>
        </is>
      </c>
      <c r="O1" s="4" t="inlineStr">
        <is>
          <t xml:space="preserve">annual_load_kwh</t>
        </is>
      </c>
      <c r="P1" s="4" t="inlineStr">
        <is>
          <t xml:space="preserve">daytime_load_share</t>
        </is>
      </c>
      <c r="Q1" s="4" t="inlineStr">
        <is>
          <t xml:space="preserve">uncertainty_pct</t>
        </is>
      </c>
      <c r="R1" s="4" t="inlineStr">
        <is>
          <t xml:space="preserve">ppa_tenor_years</t>
        </is>
      </c>
      <c r="S1" s="4" t="inlineStr">
        <is>
          <t xml:space="preserve">regulatory_gate</t>
        </is>
      </c>
      <c r="T1" s="4" t="inlineStr">
        <is>
          <t xml:space="preserve">technical_gate</t>
        </is>
      </c>
      <c r="U1" s="4" t="inlineStr">
        <is>
          <t xml:space="preserve">credit_site_gate</t>
        </is>
      </c>
      <c r="V1" s="4" t="inlineStr">
        <is>
          <t xml:space="preserve">ppa_gate</t>
        </is>
      </c>
      <c r="W1" s="4" t="inlineStr">
        <is>
          <t xml:space="preserve">finance_gate</t>
        </is>
      </c>
      <c r="X1" s="4" t="inlineStr">
        <is>
          <t xml:space="preserve">shortlist_flag</t>
        </is>
      </c>
      <c r="Y1" s="4" t="inlineStr">
        <is>
          <t xml:space="preserve">p50_y1_kwh</t>
        </is>
      </c>
      <c r="Z1" s="4" t="inlineStr">
        <is>
          <t xml:space="preserve">p90_y1_kwh</t>
        </is>
      </c>
      <c r="AA1" s="4" t="inlineStr">
        <is>
          <t xml:space="preserve">p90_p50_ratio</t>
        </is>
      </c>
      <c r="AB1" s="4" t="inlineStr">
        <is>
          <t xml:space="preserve">self_consumption_ratio</t>
        </is>
      </c>
      <c r="AC1" s="4" t="inlineStr">
        <is>
          <t xml:space="preserve">weighted_avoided_tariff_vnd_kwh</t>
        </is>
      </c>
      <c r="AD1" s="4" t="inlineStr">
        <is>
          <t xml:space="preserve">ppa_price_vnd_kwh</t>
        </is>
      </c>
      <c r="AE1" s="4" t="inlineStr">
        <is>
          <t xml:space="preserve">customer_ceiling_vnd_kwh</t>
        </is>
      </c>
      <c r="AF1" s="4" t="inlineStr">
        <is>
          <t xml:space="preserve">sponsor_floor_vnd_kwh</t>
        </is>
      </c>
      <c r="AG1" s="4" t="inlineStr">
        <is>
          <t xml:space="preserve">lender_floor_vnd_kwh</t>
        </is>
      </c>
      <c r="AH1" s="4" t="inlineStr">
        <is>
          <t xml:space="preserve">final_classification</t>
        </is>
      </c>
    </row>
    <row r="2">
      <c r="A2" s="5" t="inlineStr">
        <is>
          <t xml:space="preserve">VG-001</t>
        </is>
      </c>
      <c r="B2" s="5" t="inlineStr">
        <is>
          <t xml:space="preserve">Northern Electronics One</t>
        </is>
      </c>
      <c r="C2" s="5" t="inlineStr">
        <is>
          <t xml:space="preserve">North</t>
        </is>
      </c>
      <c r="D2" s="5" t="inlineStr">
        <is>
          <t xml:space="preserve">Hai Phong</t>
        </is>
      </c>
      <c r="E2" s="5" t="inlineStr">
        <is>
          <t xml:space="preserve">Electronics</t>
        </is>
      </c>
      <c r="F2" s="5" t="inlineStr">
        <is>
          <t xml:space="preserve">OF-001</t>
        </is>
      </c>
      <c r="G2" s="5" t="inlineStr">
        <is>
          <t xml:space="preserve">PG-01</t>
        </is>
      </c>
      <c r="H2" s="5" t="inlineStr">
        <is>
          <t xml:space="preserve">SITE-001</t>
        </is>
      </c>
      <c r="I2" s="5" t="inlineStr">
        <is>
          <t xml:space="preserve">On-site private-wire sale</t>
        </is>
      </c>
      <c r="J2" s="5" t="inlineStr">
        <is>
          <t xml:space="preserve">A</t>
        </is>
      </c>
      <c r="K2" s="5" t="inlineStr">
        <is>
          <t xml:space="preserve">B</t>
        </is>
      </c>
      <c r="L2" s="15" t="inlineStr">
        <is>
          <t xml:space="preserve">PASS</t>
        </is>
      </c>
      <c r="M2" s="5">
        <v>2200</v>
      </c>
      <c r="N2" s="5">
        <v>1400</v>
      </c>
      <c r="O2" s="5">
        <v>15000000</v>
      </c>
      <c r="P2" s="5">
        <v>0.75</v>
      </c>
      <c r="Q2" s="21">
        <v>0.08</v>
      </c>
      <c r="R2" s="24">
        <v>15</v>
      </c>
      <c r="S2" s="15" t="inlineStr">
        <is>
          <t xml:space="preserve">PASS</t>
        </is>
      </c>
      <c r="T2" s="15" t="inlineStr">
        <is>
          <t xml:space="preserve">PASS</t>
        </is>
      </c>
      <c r="U2" s="15" t="inlineStr">
        <is>
          <t xml:space="preserve">PASS</t>
        </is>
      </c>
      <c r="V2" s="15" t="inlineStr">
        <is>
          <t xml:space="preserve">PASS</t>
        </is>
      </c>
      <c r="W2" s="15" t="inlineStr">
        <is>
          <t xml:space="preserve">PASS</t>
        </is>
      </c>
      <c r="X2" s="5" t="b">
        <v>1</v>
      </c>
      <c r="Y2" s="5">
        <v>1848000</v>
      </c>
      <c r="Z2" s="5">
        <v>1658528.256</v>
      </c>
      <c r="AA2" s="22">
        <v>0.897472</v>
      </c>
      <c r="AB2" s="21">
        <v>1</v>
      </c>
      <c r="AC2" s="20">
        <v>2537.5</v>
      </c>
      <c r="AD2" s="20">
        <v>2080.75</v>
      </c>
      <c r="AE2" s="20">
        <v>2182.25</v>
      </c>
      <c r="AF2" s="20">
        <v>1955.905</v>
      </c>
      <c r="AG2" s="20">
        <v>1997.52</v>
      </c>
      <c r="AH2" s="5" t="inlineStr">
        <is>
          <t xml:space="preserve">INVEST_WITH_CONDITIONS</t>
        </is>
      </c>
    </row>
    <row r="3">
      <c r="A3" s="5" t="inlineStr">
        <is>
          <t xml:space="preserve">VG-002</t>
        </is>
      </c>
      <c r="B3" s="5" t="inlineStr">
        <is>
          <t xml:space="preserve">Bac Ninh Precision</t>
        </is>
      </c>
      <c r="C3" s="5" t="inlineStr">
        <is>
          <t xml:space="preserve">North</t>
        </is>
      </c>
      <c r="D3" s="5" t="inlineStr">
        <is>
          <t xml:space="preserve">Bac Ninh</t>
        </is>
      </c>
      <c r="E3" s="5" t="inlineStr">
        <is>
          <t xml:space="preserve">Electronics</t>
        </is>
      </c>
      <c r="F3" s="5" t="inlineStr">
        <is>
          <t xml:space="preserve">OF-002</t>
        </is>
      </c>
      <c r="G3" s="5" t="inlineStr">
        <is>
          <t xml:space="preserve">PG-01</t>
        </is>
      </c>
      <c r="H3" s="5" t="inlineStr">
        <is>
          <t xml:space="preserve">SITE-002</t>
        </is>
      </c>
      <c r="I3" s="5" t="inlineStr">
        <is>
          <t xml:space="preserve">On-site private-wire sale</t>
        </is>
      </c>
      <c r="J3" s="5" t="inlineStr">
        <is>
          <t xml:space="preserve">A</t>
        </is>
      </c>
      <c r="K3" s="5" t="inlineStr">
        <is>
          <t xml:space="preserve">A</t>
        </is>
      </c>
      <c r="L3" s="15" t="inlineStr">
        <is>
          <t xml:space="preserve">PASS</t>
        </is>
      </c>
      <c r="M3" s="5">
        <v>1800</v>
      </c>
      <c r="N3" s="5">
        <v>1500</v>
      </c>
      <c r="O3" s="5">
        <v>17000000</v>
      </c>
      <c r="P3" s="5">
        <v>0.82</v>
      </c>
      <c r="Q3" s="21">
        <v>0.07</v>
      </c>
      <c r="R3" s="24">
        <v>18</v>
      </c>
      <c r="S3" s="15" t="inlineStr">
        <is>
          <t xml:space="preserve">PASS</t>
        </is>
      </c>
      <c r="T3" s="15" t="inlineStr">
        <is>
          <t xml:space="preserve">PASS</t>
        </is>
      </c>
      <c r="U3" s="15" t="inlineStr">
        <is>
          <t xml:space="preserve">PASS</t>
        </is>
      </c>
      <c r="V3" s="15" t="inlineStr">
        <is>
          <t xml:space="preserve">PASS</t>
        </is>
      </c>
      <c r="W3" s="15" t="inlineStr">
        <is>
          <t xml:space="preserve">PASS</t>
        </is>
      </c>
      <c r="X3" s="5" t="b">
        <v>1</v>
      </c>
      <c r="Y3" s="5">
        <v>1980000</v>
      </c>
      <c r="Z3" s="5">
        <v>1802370.24</v>
      </c>
      <c r="AA3" s="22">
        <v>0.910288</v>
      </c>
      <c r="AB3" s="21">
        <v>1</v>
      </c>
      <c r="AC3" s="20">
        <v>2639</v>
      </c>
      <c r="AD3" s="20">
        <v>2163.98</v>
      </c>
      <c r="AE3" s="20">
        <v>2269.54</v>
      </c>
      <c r="AF3" s="20">
        <v>2034.1412</v>
      </c>
      <c r="AG3" s="20">
        <v>2077.4208</v>
      </c>
      <c r="AH3" s="5" t="inlineStr">
        <is>
          <t xml:space="preserve">INVEST_WITH_CONDITIONS</t>
        </is>
      </c>
    </row>
    <row r="4">
      <c r="A4" s="5" t="inlineStr">
        <is>
          <t xml:space="preserve">VG-003</t>
        </is>
      </c>
      <c r="B4" s="5" t="inlineStr">
        <is>
          <t xml:space="preserve">Hanoi Cold Chain</t>
        </is>
      </c>
      <c r="C4" s="5" t="inlineStr">
        <is>
          <t xml:space="preserve">North</t>
        </is>
      </c>
      <c r="D4" s="5" t="inlineStr">
        <is>
          <t xml:space="preserve">Hanoi</t>
        </is>
      </c>
      <c r="E4" s="5" t="inlineStr">
        <is>
          <t xml:space="preserve">Logistics</t>
        </is>
      </c>
      <c r="F4" s="5" t="inlineStr">
        <is>
          <t xml:space="preserve">OF-003</t>
        </is>
      </c>
      <c r="G4" s="5" t="inlineStr">
        <is>
          <t xml:space="preserve">PG-02</t>
        </is>
      </c>
      <c r="H4" s="5" t="inlineStr">
        <is>
          <t xml:space="preserve">SITE-003</t>
        </is>
      </c>
      <c r="I4" s="5" t="inlineStr">
        <is>
          <t xml:space="preserve">On-site self-consumption</t>
        </is>
      </c>
      <c r="J4" s="5" t="inlineStr">
        <is>
          <t xml:space="preserve">B</t>
        </is>
      </c>
      <c r="K4" s="5" t="inlineStr">
        <is>
          <t xml:space="preserve">B</t>
        </is>
      </c>
      <c r="L4" s="15" t="inlineStr">
        <is>
          <t xml:space="preserve">PASS</t>
        </is>
      </c>
      <c r="M4" s="5">
        <v>1350</v>
      </c>
      <c r="N4" s="5">
        <v>1100</v>
      </c>
      <c r="O4" s="5">
        <v>19000000</v>
      </c>
      <c r="P4" s="5">
        <v>0.78</v>
      </c>
      <c r="Q4" s="21">
        <v>0.08</v>
      </c>
      <c r="R4" s="24">
        <v>15</v>
      </c>
      <c r="S4" s="15" t="inlineStr">
        <is>
          <t xml:space="preserve">PASS</t>
        </is>
      </c>
      <c r="T4" s="15" t="inlineStr">
        <is>
          <t xml:space="preserve">PASS</t>
        </is>
      </c>
      <c r="U4" s="15" t="inlineStr">
        <is>
          <t xml:space="preserve">PASS</t>
        </is>
      </c>
      <c r="V4" s="15" t="inlineStr">
        <is>
          <t xml:space="preserve">PASS</t>
        </is>
      </c>
      <c r="W4" s="15" t="inlineStr">
        <is>
          <t xml:space="preserve">PASS</t>
        </is>
      </c>
      <c r="X4" s="5" t="b">
        <v>1</v>
      </c>
      <c r="Y4" s="5">
        <v>1452000</v>
      </c>
      <c r="Z4" s="5">
        <v>1303129.344</v>
      </c>
      <c r="AA4" s="22">
        <v>0.897472</v>
      </c>
      <c r="AB4" s="21">
        <v>1</v>
      </c>
      <c r="AC4" s="20">
        <v>2581</v>
      </c>
      <c r="AD4" s="20">
        <v>2116.42</v>
      </c>
      <c r="AE4" s="20">
        <v>2219.66</v>
      </c>
      <c r="AF4" s="20">
        <v>1989.4348</v>
      </c>
      <c r="AG4" s="20">
        <v>2031.7632</v>
      </c>
      <c r="AH4" s="5" t="inlineStr">
        <is>
          <t xml:space="preserve">INVEST_WITH_CONDITIONS</t>
        </is>
      </c>
    </row>
    <row r="5">
      <c r="A5" s="5" t="inlineStr">
        <is>
          <t xml:space="preserve">VG-004</t>
        </is>
      </c>
      <c r="B5" s="5" t="inlineStr">
        <is>
          <t xml:space="preserve">Quang Ninh Cement</t>
        </is>
      </c>
      <c r="C5" s="5" t="inlineStr">
        <is>
          <t xml:space="preserve">North</t>
        </is>
      </c>
      <c r="D5" s="5" t="inlineStr">
        <is>
          <t xml:space="preserve">Quang Ninh</t>
        </is>
      </c>
      <c r="E5" s="5" t="inlineStr">
        <is>
          <t xml:space="preserve">Materials</t>
        </is>
      </c>
      <c r="F5" s="5" t="inlineStr">
        <is>
          <t xml:space="preserve">OF-004</t>
        </is>
      </c>
      <c r="G5" s="5" t="inlineStr">
        <is>
          <t xml:space="preserve">PG-03</t>
        </is>
      </c>
      <c r="H5" s="5" t="inlineStr">
        <is>
          <t xml:space="preserve">SITE-004</t>
        </is>
      </c>
      <c r="I5" s="5" t="inlineStr">
        <is>
          <t xml:space="preserve">On-site private-wire sale</t>
        </is>
      </c>
      <c r="J5" s="5" t="inlineStr">
        <is>
          <t xml:space="preserve">A</t>
        </is>
      </c>
      <c r="K5" s="5" t="inlineStr">
        <is>
          <t xml:space="preserve">C</t>
        </is>
      </c>
      <c r="L5" s="15" t="inlineStr">
        <is>
          <t xml:space="preserve">PASS</t>
        </is>
      </c>
      <c r="M5" s="5">
        <v>1550</v>
      </c>
      <c r="N5" s="5">
        <v>1450</v>
      </c>
      <c r="O5" s="5">
        <v>30000000</v>
      </c>
      <c r="P5" s="5">
        <v>0.68</v>
      </c>
      <c r="Q5" s="21">
        <v>0.09</v>
      </c>
      <c r="R5" s="24">
        <v>20</v>
      </c>
      <c r="S5" s="15" t="inlineStr">
        <is>
          <t xml:space="preserve">PASS</t>
        </is>
      </c>
      <c r="T5" s="15" t="inlineStr">
        <is>
          <t xml:space="preserve">PASS</t>
        </is>
      </c>
      <c r="U5" s="15" t="inlineStr">
        <is>
          <t xml:space="preserve">PASS</t>
        </is>
      </c>
      <c r="V5" s="17" t="inlineStr">
        <is>
          <t xml:space="preserve">RENEGOTIATE</t>
        </is>
      </c>
      <c r="W5" s="15" t="inlineStr">
        <is>
          <t xml:space="preserve">PASS</t>
        </is>
      </c>
      <c r="X5" s="5" t="b">
        <v>0</v>
      </c>
      <c r="Y5" s="5">
        <v>1914000</v>
      </c>
      <c r="Z5" s="5">
        <v>1693231.584</v>
      </c>
      <c r="AA5" s="22">
        <v>0.884656</v>
      </c>
      <c r="AB5" s="21">
        <v>1</v>
      </c>
      <c r="AC5" s="20">
        <v>2436</v>
      </c>
      <c r="AD5" s="20">
        <v>2192.4</v>
      </c>
      <c r="AE5" s="20">
        <v>2094.96</v>
      </c>
      <c r="AF5" s="20">
        <v>2060.856</v>
      </c>
      <c r="AG5" s="20">
        <v>2104.704</v>
      </c>
      <c r="AH5" s="17" t="inlineStr">
        <is>
          <t xml:space="preserve">RENEGOTIATE</t>
        </is>
      </c>
    </row>
    <row r="6">
      <c r="A6" s="5" t="inlineStr">
        <is>
          <t xml:space="preserve">VG-005</t>
        </is>
      </c>
      <c r="B6" s="5" t="inlineStr">
        <is>
          <t xml:space="preserve">Da Nang Food Hub</t>
        </is>
      </c>
      <c r="C6" s="5" t="inlineStr">
        <is>
          <t xml:space="preserve">Central</t>
        </is>
      </c>
      <c r="D6" s="5" t="inlineStr">
        <is>
          <t xml:space="preserve">Da Nang</t>
        </is>
      </c>
      <c r="E6" s="5" t="inlineStr">
        <is>
          <t xml:space="preserve">Food &amp; Beverage</t>
        </is>
      </c>
      <c r="F6" s="5" t="inlineStr">
        <is>
          <t xml:space="preserve">OF-005</t>
        </is>
      </c>
      <c r="G6" s="5" t="inlineStr">
        <is>
          <t xml:space="preserve">PG-04</t>
        </is>
      </c>
      <c r="H6" s="5" t="inlineStr">
        <is>
          <t xml:space="preserve">SITE-005</t>
        </is>
      </c>
      <c r="I6" s="5" t="inlineStr">
        <is>
          <t xml:space="preserve">On-site self-consumption</t>
        </is>
      </c>
      <c r="J6" s="5" t="inlineStr">
        <is>
          <t xml:space="preserve">A</t>
        </is>
      </c>
      <c r="K6" s="5" t="inlineStr">
        <is>
          <t xml:space="preserve">B</t>
        </is>
      </c>
      <c r="L6" s="15" t="inlineStr">
        <is>
          <t xml:space="preserve">PASS</t>
        </is>
      </c>
      <c r="M6" s="5">
        <v>1450</v>
      </c>
      <c r="N6" s="5">
        <v>1200</v>
      </c>
      <c r="O6" s="5">
        <v>16000000</v>
      </c>
      <c r="P6" s="5">
        <v>0.88</v>
      </c>
      <c r="Q6" s="21">
        <v>0.07</v>
      </c>
      <c r="R6" s="24">
        <v>15</v>
      </c>
      <c r="S6" s="15" t="inlineStr">
        <is>
          <t xml:space="preserve">PASS</t>
        </is>
      </c>
      <c r="T6" s="15" t="inlineStr">
        <is>
          <t xml:space="preserve">PASS</t>
        </is>
      </c>
      <c r="U6" s="15" t="inlineStr">
        <is>
          <t xml:space="preserve">PASS</t>
        </is>
      </c>
      <c r="V6" s="15" t="inlineStr">
        <is>
          <t xml:space="preserve">PASS</t>
        </is>
      </c>
      <c r="W6" s="15" t="inlineStr">
        <is>
          <t xml:space="preserve">PASS</t>
        </is>
      </c>
      <c r="X6" s="5" t="b">
        <v>1</v>
      </c>
      <c r="Y6" s="5">
        <v>1776000</v>
      </c>
      <c r="Z6" s="5">
        <v>1616671.488</v>
      </c>
      <c r="AA6" s="22">
        <v>0.910288</v>
      </c>
      <c r="AB6" s="21">
        <v>1</v>
      </c>
      <c r="AC6" s="20">
        <v>2726</v>
      </c>
      <c r="AD6" s="20">
        <v>2235.32</v>
      </c>
      <c r="AE6" s="20">
        <v>2344.36</v>
      </c>
      <c r="AF6" s="20">
        <v>2101.2008</v>
      </c>
      <c r="AG6" s="20">
        <v>2145.9072</v>
      </c>
      <c r="AH6" s="5" t="inlineStr">
        <is>
          <t xml:space="preserve">INVEST_WITH_CONDITIONS</t>
        </is>
      </c>
    </row>
    <row r="7">
      <c r="A7" s="5" t="inlineStr">
        <is>
          <t xml:space="preserve">VG-006</t>
        </is>
      </c>
      <c r="B7" s="5" t="inlineStr">
        <is>
          <t xml:space="preserve">Hue Garments</t>
        </is>
      </c>
      <c r="C7" s="5" t="inlineStr">
        <is>
          <t xml:space="preserve">Central</t>
        </is>
      </c>
      <c r="D7" s="5" t="inlineStr">
        <is>
          <t xml:space="preserve">Hue</t>
        </is>
      </c>
      <c r="E7" s="5" t="inlineStr">
        <is>
          <t xml:space="preserve">Textile</t>
        </is>
      </c>
      <c r="F7" s="5" t="inlineStr">
        <is>
          <t xml:space="preserve">OF-006</t>
        </is>
      </c>
      <c r="G7" s="5" t="inlineStr">
        <is>
          <t xml:space="preserve">PG-05</t>
        </is>
      </c>
      <c r="H7" s="5" t="inlineStr">
        <is>
          <t xml:space="preserve">SITE-006</t>
        </is>
      </c>
      <c r="I7" s="5" t="inlineStr">
        <is>
          <t xml:space="preserve">On-site private-wire sale</t>
        </is>
      </c>
      <c r="J7" s="5" t="inlineStr">
        <is>
          <t xml:space="preserve">D</t>
        </is>
      </c>
      <c r="K7" s="5" t="inlineStr">
        <is>
          <t xml:space="preserve">B</t>
        </is>
      </c>
      <c r="L7" s="15" t="inlineStr">
        <is>
          <t xml:space="preserve">PASS</t>
        </is>
      </c>
      <c r="M7" s="5">
        <v>1500</v>
      </c>
      <c r="N7" s="5">
        <v>1200</v>
      </c>
      <c r="O7" s="5">
        <v>25000000</v>
      </c>
      <c r="P7" s="5">
        <v>0.76</v>
      </c>
      <c r="Q7" s="21">
        <v>0.09</v>
      </c>
      <c r="R7" s="24">
        <v>15</v>
      </c>
      <c r="S7" s="15" t="inlineStr">
        <is>
          <t xml:space="preserve">PASS</t>
        </is>
      </c>
      <c r="T7" s="15" t="inlineStr">
        <is>
          <t xml:space="preserve">PASS</t>
        </is>
      </c>
      <c r="U7" s="16" t="inlineStr">
        <is>
          <t xml:space="preserve">FAIL</t>
        </is>
      </c>
      <c r="V7" s="15" t="inlineStr">
        <is>
          <t xml:space="preserve">PASS</t>
        </is>
      </c>
      <c r="W7" s="15" t="inlineStr">
        <is>
          <t xml:space="preserve">PASS</t>
        </is>
      </c>
      <c r="X7" s="5" t="b">
        <v>0</v>
      </c>
      <c r="Y7" s="5">
        <v>1776000</v>
      </c>
      <c r="Z7" s="5">
        <v>1571149.056</v>
      </c>
      <c r="AA7" s="22">
        <v>0.884656</v>
      </c>
      <c r="AB7" s="21">
        <v>1</v>
      </c>
      <c r="AC7" s="20">
        <v>2552</v>
      </c>
      <c r="AD7" s="20">
        <v>2092.64</v>
      </c>
      <c r="AE7" s="20">
        <v>2194.72</v>
      </c>
      <c r="AF7" s="20">
        <v>1967.0816</v>
      </c>
      <c r="AG7" s="20">
        <v>2008.9344</v>
      </c>
      <c r="AH7" s="16" t="inlineStr">
        <is>
          <t xml:space="preserve">REJECT</t>
        </is>
      </c>
    </row>
    <row r="8">
      <c r="A8" s="5" t="inlineStr">
        <is>
          <t xml:space="preserve">VG-007</t>
        </is>
      </c>
      <c r="B8" s="5" t="inlineStr">
        <is>
          <t xml:space="preserve">Quang Ngai Packaging</t>
        </is>
      </c>
      <c r="C8" s="5" t="inlineStr">
        <is>
          <t xml:space="preserve">Central</t>
        </is>
      </c>
      <c r="D8" s="5" t="inlineStr">
        <is>
          <t xml:space="preserve">Quang Ngai</t>
        </is>
      </c>
      <c r="E8" s="5" t="inlineStr">
        <is>
          <t xml:space="preserve">Packaging</t>
        </is>
      </c>
      <c r="F8" s="5" t="inlineStr">
        <is>
          <t xml:space="preserve">OF-007</t>
        </is>
      </c>
      <c r="G8" s="5" t="inlineStr">
        <is>
          <t xml:space="preserve">PG-06</t>
        </is>
      </c>
      <c r="H8" s="5" t="inlineStr">
        <is>
          <t xml:space="preserve">SITE-007</t>
        </is>
      </c>
      <c r="I8" s="5" t="inlineStr">
        <is>
          <t xml:space="preserve">On-site private-wire sale</t>
        </is>
      </c>
      <c r="J8" s="5" t="inlineStr">
        <is>
          <t xml:space="preserve">B</t>
        </is>
      </c>
      <c r="K8" s="5" t="inlineStr">
        <is>
          <t xml:space="preserve">D</t>
        </is>
      </c>
      <c r="L8" s="15" t="inlineStr">
        <is>
          <t xml:space="preserve">PASS</t>
        </is>
      </c>
      <c r="M8" s="5">
        <v>1550</v>
      </c>
      <c r="N8" s="5">
        <v>1300</v>
      </c>
      <c r="O8" s="5">
        <v>18000000</v>
      </c>
      <c r="P8" s="5">
        <v>0.8</v>
      </c>
      <c r="Q8" s="21">
        <v>0.08</v>
      </c>
      <c r="R8" s="24">
        <v>15</v>
      </c>
      <c r="S8" s="15" t="inlineStr">
        <is>
          <t xml:space="preserve">PASS</t>
        </is>
      </c>
      <c r="T8" s="15" t="inlineStr">
        <is>
          <t xml:space="preserve">PASS</t>
        </is>
      </c>
      <c r="U8" s="5" t="inlineStr">
        <is>
          <t xml:space="preserve">CONDITION</t>
        </is>
      </c>
      <c r="V8" s="15" t="inlineStr">
        <is>
          <t xml:space="preserve">PASS</t>
        </is>
      </c>
      <c r="W8" s="15" t="inlineStr">
        <is>
          <t xml:space="preserve">PASS</t>
        </is>
      </c>
      <c r="X8" s="5" t="b">
        <v>1</v>
      </c>
      <c r="Y8" s="5">
        <v>1924000</v>
      </c>
      <c r="Z8" s="5">
        <v>1726736.128</v>
      </c>
      <c r="AA8" s="22">
        <v>0.897472</v>
      </c>
      <c r="AB8" s="21">
        <v>1</v>
      </c>
      <c r="AC8" s="20">
        <v>2610</v>
      </c>
      <c r="AD8" s="20">
        <v>2140.2</v>
      </c>
      <c r="AE8" s="20">
        <v>2244.6</v>
      </c>
      <c r="AF8" s="20">
        <v>2011.788</v>
      </c>
      <c r="AG8" s="20">
        <v>2054.592</v>
      </c>
      <c r="AH8" s="5" t="inlineStr">
        <is>
          <t xml:space="preserve">INVEST_WITH_CONDITIONS</t>
        </is>
      </c>
    </row>
    <row r="9">
      <c r="A9" s="5" t="inlineStr">
        <is>
          <t xml:space="preserve">VG-008</t>
        </is>
      </c>
      <c r="B9" s="5" t="inlineStr">
        <is>
          <t xml:space="preserve">Nha Trang Hospitality</t>
        </is>
      </c>
      <c r="C9" s="5" t="inlineStr">
        <is>
          <t xml:space="preserve">South</t>
        </is>
      </c>
      <c r="D9" s="5" t="inlineStr">
        <is>
          <t xml:space="preserve">Khanh Hoa</t>
        </is>
      </c>
      <c r="E9" s="5" t="inlineStr">
        <is>
          <t xml:space="preserve">Hospitality</t>
        </is>
      </c>
      <c r="F9" s="5" t="inlineStr">
        <is>
          <t xml:space="preserve">OF-008</t>
        </is>
      </c>
      <c r="G9" s="5" t="inlineStr">
        <is>
          <t xml:space="preserve">PG-07</t>
        </is>
      </c>
      <c r="H9" s="5" t="inlineStr">
        <is>
          <t xml:space="preserve">SITE-008</t>
        </is>
      </c>
      <c r="I9" s="5" t="inlineStr">
        <is>
          <t xml:space="preserve">On-site self-consumption</t>
        </is>
      </c>
      <c r="J9" s="5" t="inlineStr">
        <is>
          <t xml:space="preserve">B</t>
        </is>
      </c>
      <c r="K9" s="5" t="inlineStr">
        <is>
          <t xml:space="preserve">C</t>
        </is>
      </c>
      <c r="L9" s="15" t="inlineStr">
        <is>
          <t xml:space="preserve">PASS</t>
        </is>
      </c>
      <c r="M9" s="5">
        <v>1650</v>
      </c>
      <c r="N9" s="5">
        <v>1300</v>
      </c>
      <c r="O9" s="5">
        <v>21000000</v>
      </c>
      <c r="P9" s="5">
        <v>0.7</v>
      </c>
      <c r="Q9" s="21">
        <v>0.08</v>
      </c>
      <c r="R9" s="24">
        <v>15</v>
      </c>
      <c r="S9" s="15" t="inlineStr">
        <is>
          <t xml:space="preserve">PASS</t>
        </is>
      </c>
      <c r="T9" s="15" t="inlineStr">
        <is>
          <t xml:space="preserve">PASS</t>
        </is>
      </c>
      <c r="U9" s="15" t="inlineStr">
        <is>
          <t xml:space="preserve">PASS</t>
        </is>
      </c>
      <c r="V9" s="17" t="inlineStr">
        <is>
          <t xml:space="preserve">RENEGOTIATE</t>
        </is>
      </c>
      <c r="W9" s="15" t="inlineStr">
        <is>
          <t xml:space="preserve">PASS</t>
        </is>
      </c>
      <c r="X9" s="5" t="b">
        <v>0</v>
      </c>
      <c r="Y9" s="5">
        <v>1846000</v>
      </c>
      <c r="Z9" s="5">
        <v>1656733.312</v>
      </c>
      <c r="AA9" s="22">
        <v>0.897472</v>
      </c>
      <c r="AB9" s="21">
        <v>1</v>
      </c>
      <c r="AC9" s="20">
        <v>2465</v>
      </c>
      <c r="AD9" s="20">
        <v>2218.5</v>
      </c>
      <c r="AE9" s="20">
        <v>2119.9</v>
      </c>
      <c r="AF9" s="20">
        <v>2085.39</v>
      </c>
      <c r="AG9" s="20">
        <v>2129.76</v>
      </c>
      <c r="AH9" s="17" t="inlineStr">
        <is>
          <t xml:space="preserve">RENEGOTIATE</t>
        </is>
      </c>
    </row>
    <row r="10">
      <c r="A10" s="5" t="inlineStr">
        <is>
          <t xml:space="preserve">VG-009</t>
        </is>
      </c>
      <c r="B10" s="5" t="inlineStr">
        <is>
          <t xml:space="preserve">Binh Duong Auto Parts</t>
        </is>
      </c>
      <c r="C10" s="5" t="inlineStr">
        <is>
          <t xml:space="preserve">South</t>
        </is>
      </c>
      <c r="D10" s="5" t="inlineStr">
        <is>
          <t xml:space="preserve">Binh Duong</t>
        </is>
      </c>
      <c r="E10" s="5" t="inlineStr">
        <is>
          <t xml:space="preserve">Automotive</t>
        </is>
      </c>
      <c r="F10" s="5" t="inlineStr">
        <is>
          <t xml:space="preserve">OF-009</t>
        </is>
      </c>
      <c r="G10" s="5" t="inlineStr">
        <is>
          <t xml:space="preserve">PG-08</t>
        </is>
      </c>
      <c r="H10" s="5" t="inlineStr">
        <is>
          <t xml:space="preserve">SITE-009</t>
        </is>
      </c>
      <c r="I10" s="5" t="inlineStr">
        <is>
          <t xml:space="preserve">Direct electricity trading / DPPA-style</t>
        </is>
      </c>
      <c r="J10" s="5" t="inlineStr">
        <is>
          <t xml:space="preserve">A</t>
        </is>
      </c>
      <c r="K10" s="5" t="inlineStr">
        <is>
          <t xml:space="preserve">B</t>
        </is>
      </c>
      <c r="L10" s="15" t="inlineStr">
        <is>
          <t xml:space="preserve">PASS</t>
        </is>
      </c>
      <c r="M10" s="5">
        <v>1500</v>
      </c>
      <c r="N10" s="5">
        <v>1300</v>
      </c>
      <c r="O10" s="5">
        <v>27000000</v>
      </c>
      <c r="P10" s="5">
        <v>0.74</v>
      </c>
      <c r="Q10" s="21">
        <v>0.08</v>
      </c>
      <c r="R10" s="24">
        <v>15</v>
      </c>
      <c r="S10" s="5" t="inlineStr">
        <is>
          <t xml:space="preserve">HOLD_FOR_LEGAL_REVIEW</t>
        </is>
      </c>
      <c r="T10" s="15" t="inlineStr">
        <is>
          <t xml:space="preserve">PASS</t>
        </is>
      </c>
      <c r="U10" s="15" t="inlineStr">
        <is>
          <t xml:space="preserve">PASS</t>
        </is>
      </c>
      <c r="V10" s="17" t="inlineStr">
        <is>
          <t xml:space="preserve">RENEGOTIATE</t>
        </is>
      </c>
      <c r="W10" s="15" t="inlineStr">
        <is>
          <t xml:space="preserve">PASS</t>
        </is>
      </c>
      <c r="X10" s="5" t="b">
        <v>0</v>
      </c>
      <c r="Y10" s="5">
        <v>1846000</v>
      </c>
      <c r="Z10" s="5">
        <v>1656733.312</v>
      </c>
      <c r="AA10" s="22">
        <v>0.897472</v>
      </c>
      <c r="AB10" s="21">
        <v>1</v>
      </c>
      <c r="AC10" s="20">
        <v>2523</v>
      </c>
      <c r="AD10" s="20">
        <v>2270.7</v>
      </c>
      <c r="AE10" s="20">
        <v>2169.78</v>
      </c>
      <c r="AF10" s="20">
        <v>2134.458</v>
      </c>
      <c r="AG10" s="20">
        <v>2179.872</v>
      </c>
      <c r="AH10" s="17" t="inlineStr">
        <is>
          <t xml:space="preserve">RENEGOTIATE</t>
        </is>
      </c>
    </row>
    <row r="11">
      <c r="A11" s="5" t="inlineStr">
        <is>
          <t xml:space="preserve">VG-010</t>
        </is>
      </c>
      <c r="B11" s="5" t="inlineStr">
        <is>
          <t xml:space="preserve">Dong Nai Pharma</t>
        </is>
      </c>
      <c r="C11" s="5" t="inlineStr">
        <is>
          <t xml:space="preserve">South</t>
        </is>
      </c>
      <c r="D11" s="5" t="inlineStr">
        <is>
          <t xml:space="preserve">Dong Nai</t>
        </is>
      </c>
      <c r="E11" s="5" t="inlineStr">
        <is>
          <t xml:space="preserve">Pharma</t>
        </is>
      </c>
      <c r="F11" s="5" t="inlineStr">
        <is>
          <t xml:space="preserve">OF-010</t>
        </is>
      </c>
      <c r="G11" s="5" t="inlineStr">
        <is>
          <t xml:space="preserve">PG-09</t>
        </is>
      </c>
      <c r="H11" s="5" t="inlineStr">
        <is>
          <t xml:space="preserve">SITE-010</t>
        </is>
      </c>
      <c r="I11" s="5" t="inlineStr">
        <is>
          <t xml:space="preserve">On-site private-wire sale</t>
        </is>
      </c>
      <c r="J11" s="5" t="inlineStr">
        <is>
          <t xml:space="preserve">A</t>
        </is>
      </c>
      <c r="K11" s="5" t="inlineStr">
        <is>
          <t xml:space="preserve">A</t>
        </is>
      </c>
      <c r="L11" s="15" t="inlineStr">
        <is>
          <t xml:space="preserve">PASS</t>
        </is>
      </c>
      <c r="M11" s="5">
        <v>1550</v>
      </c>
      <c r="N11" s="5">
        <v>1300</v>
      </c>
      <c r="O11" s="5">
        <v>22000000</v>
      </c>
      <c r="P11" s="5">
        <v>0.84</v>
      </c>
      <c r="Q11" s="21">
        <v>0.07</v>
      </c>
      <c r="R11" s="24">
        <v>15</v>
      </c>
      <c r="S11" s="15" t="inlineStr">
        <is>
          <t xml:space="preserve">PASS</t>
        </is>
      </c>
      <c r="T11" s="15" t="inlineStr">
        <is>
          <t xml:space="preserve">PASS</t>
        </is>
      </c>
      <c r="U11" s="15" t="inlineStr">
        <is>
          <t xml:space="preserve">PASS</t>
        </is>
      </c>
      <c r="V11" s="15" t="inlineStr">
        <is>
          <t xml:space="preserve">PASS</t>
        </is>
      </c>
      <c r="W11" s="15" t="inlineStr">
        <is>
          <t xml:space="preserve">PASS</t>
        </is>
      </c>
      <c r="X11" s="5" t="b">
        <v>1</v>
      </c>
      <c r="Y11" s="5">
        <v>1846000</v>
      </c>
      <c r="Z11" s="5">
        <v>1680391.648</v>
      </c>
      <c r="AA11" s="22">
        <v>0.910288</v>
      </c>
      <c r="AB11" s="21">
        <v>1</v>
      </c>
      <c r="AC11" s="20">
        <v>2668</v>
      </c>
      <c r="AD11" s="20">
        <v>2187.76</v>
      </c>
      <c r="AE11" s="20">
        <v>2294.48</v>
      </c>
      <c r="AF11" s="20">
        <v>2056.4944</v>
      </c>
      <c r="AG11" s="20">
        <v>2100.2496</v>
      </c>
      <c r="AH11" s="5" t="inlineStr">
        <is>
          <t xml:space="preserve">INVEST_WITH_CONDITIONS</t>
        </is>
      </c>
    </row>
    <row r="12">
      <c r="A12" s="5" t="inlineStr">
        <is>
          <t xml:space="preserve">VG-011</t>
        </is>
      </c>
      <c r="B12" s="5" t="inlineStr">
        <is>
          <t xml:space="preserve">Ho Chi Minh Plastics</t>
        </is>
      </c>
      <c r="C12" s="5" t="inlineStr">
        <is>
          <t xml:space="preserve">South</t>
        </is>
      </c>
      <c r="D12" s="5" t="inlineStr">
        <is>
          <t xml:space="preserve">Ho Chi Minh City</t>
        </is>
      </c>
      <c r="E12" s="5" t="inlineStr">
        <is>
          <t xml:space="preserve">Plastics</t>
        </is>
      </c>
      <c r="F12" s="5" t="inlineStr">
        <is>
          <t xml:space="preserve">OF-011</t>
        </is>
      </c>
      <c r="G12" s="5" t="inlineStr">
        <is>
          <t xml:space="preserve">PG-10</t>
        </is>
      </c>
      <c r="H12" s="5" t="inlineStr">
        <is>
          <t xml:space="preserve">SITE-011</t>
        </is>
      </c>
      <c r="I12" s="5" t="inlineStr">
        <is>
          <t xml:space="preserve">On-site private-wire sale</t>
        </is>
      </c>
      <c r="J12" s="5" t="inlineStr">
        <is>
          <t xml:space="preserve">B</t>
        </is>
      </c>
      <c r="K12" s="5" t="inlineStr">
        <is>
          <t xml:space="preserve">B</t>
        </is>
      </c>
      <c r="L12" s="15" t="inlineStr">
        <is>
          <t xml:space="preserve">PASS</t>
        </is>
      </c>
      <c r="M12" s="5">
        <v>1450</v>
      </c>
      <c r="N12" s="5">
        <v>1200</v>
      </c>
      <c r="O12" s="5">
        <v>12000000</v>
      </c>
      <c r="P12" s="5">
        <v>0.86</v>
      </c>
      <c r="Q12" s="21">
        <v>0.075</v>
      </c>
      <c r="R12" s="24">
        <v>15</v>
      </c>
      <c r="S12" s="15" t="inlineStr">
        <is>
          <t xml:space="preserve">PASS</t>
        </is>
      </c>
      <c r="T12" s="15" t="inlineStr">
        <is>
          <t xml:space="preserve">PASS</t>
        </is>
      </c>
      <c r="U12" s="15" t="inlineStr">
        <is>
          <t xml:space="preserve">PASS</t>
        </is>
      </c>
      <c r="V12" s="15" t="inlineStr">
        <is>
          <t xml:space="preserve">PASS</t>
        </is>
      </c>
      <c r="W12" s="15" t="inlineStr">
        <is>
          <t xml:space="preserve">PASS</t>
        </is>
      </c>
      <c r="X12" s="5" t="b">
        <v>1</v>
      </c>
      <c r="Y12" s="5">
        <v>1704000</v>
      </c>
      <c r="Z12" s="5">
        <v>1540211.52</v>
      </c>
      <c r="AA12" s="22">
        <v>0.90388</v>
      </c>
      <c r="AB12" s="21">
        <v>1</v>
      </c>
      <c r="AC12" s="20">
        <v>2697</v>
      </c>
      <c r="AD12" s="20">
        <v>2211.54</v>
      </c>
      <c r="AE12" s="20">
        <v>2319.42</v>
      </c>
      <c r="AF12" s="20">
        <v>2078.8476</v>
      </c>
      <c r="AG12" s="20">
        <v>2123.0784</v>
      </c>
      <c r="AH12" s="5" t="inlineStr">
        <is>
          <t xml:space="preserve">INVEST_WITH_CONDITIONS</t>
        </is>
      </c>
    </row>
    <row r="13">
      <c r="A13" s="5" t="inlineStr">
        <is>
          <t xml:space="preserve">VG-012</t>
        </is>
      </c>
      <c r="B13" s="5" t="inlineStr">
        <is>
          <t xml:space="preserve">Long An Beverage</t>
        </is>
      </c>
      <c r="C13" s="5" t="inlineStr">
        <is>
          <t xml:space="preserve">South</t>
        </is>
      </c>
      <c r="D13" s="5" t="inlineStr">
        <is>
          <t xml:space="preserve">Long An</t>
        </is>
      </c>
      <c r="E13" s="5" t="inlineStr">
        <is>
          <t xml:space="preserve">Food &amp; Beverage</t>
        </is>
      </c>
      <c r="F13" s="5" t="inlineStr">
        <is>
          <t xml:space="preserve">OF-012</t>
        </is>
      </c>
      <c r="G13" s="5" t="inlineStr">
        <is>
          <t xml:space="preserve">PG-04</t>
        </is>
      </c>
      <c r="H13" s="5" t="inlineStr">
        <is>
          <t xml:space="preserve">SITE-012</t>
        </is>
      </c>
      <c r="I13" s="5" t="inlineStr">
        <is>
          <t xml:space="preserve">On-site private-wire sale</t>
        </is>
      </c>
      <c r="J13" s="5" t="inlineStr">
        <is>
          <t xml:space="preserve">B</t>
        </is>
      </c>
      <c r="K13" s="5" t="inlineStr">
        <is>
          <t xml:space="preserve">B</t>
        </is>
      </c>
      <c r="L13" s="15" t="inlineStr">
        <is>
          <t xml:space="preserve">PASS</t>
        </is>
      </c>
      <c r="M13" s="5">
        <v>1400</v>
      </c>
      <c r="N13" s="5">
        <v>1150</v>
      </c>
      <c r="O13" s="5">
        <v>15000000</v>
      </c>
      <c r="P13" s="5">
        <v>0.8</v>
      </c>
      <c r="Q13" s="21">
        <v>0.08</v>
      </c>
      <c r="R13" s="24">
        <v>15</v>
      </c>
      <c r="S13" s="15" t="inlineStr">
        <is>
          <t xml:space="preserve">PASS</t>
        </is>
      </c>
      <c r="T13" s="15" t="inlineStr">
        <is>
          <t xml:space="preserve">PASS</t>
        </is>
      </c>
      <c r="U13" s="15" t="inlineStr">
        <is>
          <t xml:space="preserve">PASS</t>
        </is>
      </c>
      <c r="V13" s="15" t="inlineStr">
        <is>
          <t xml:space="preserve">PASS</t>
        </is>
      </c>
      <c r="W13" s="15" t="inlineStr">
        <is>
          <t xml:space="preserve">PASS</t>
        </is>
      </c>
      <c r="X13" s="5" t="b">
        <v>1</v>
      </c>
      <c r="Y13" s="5">
        <v>1633000</v>
      </c>
      <c r="Z13" s="5">
        <v>1465571.776</v>
      </c>
      <c r="AA13" s="22">
        <v>0.897472</v>
      </c>
      <c r="AB13" s="21">
        <v>1</v>
      </c>
      <c r="AC13" s="20">
        <v>2610</v>
      </c>
      <c r="AD13" s="20">
        <v>2140.2</v>
      </c>
      <c r="AE13" s="20">
        <v>2244.6</v>
      </c>
      <c r="AF13" s="20">
        <v>2011.788</v>
      </c>
      <c r="AG13" s="20">
        <v>2054.592</v>
      </c>
      <c r="AH13" s="5" t="inlineStr">
        <is>
          <t xml:space="preserve">INVEST_WITH_CONDITIONS</t>
        </is>
      </c>
    </row>
    <row r="14">
      <c r="A14" s="5" t="inlineStr">
        <is>
          <t xml:space="preserve">VG-013</t>
        </is>
      </c>
      <c r="B14" s="5" t="inlineStr">
        <is>
          <t xml:space="preserve">Can Tho Rice Processing</t>
        </is>
      </c>
      <c r="C14" s="5" t="inlineStr">
        <is>
          <t xml:space="preserve">South</t>
        </is>
      </c>
      <c r="D14" s="5" t="inlineStr">
        <is>
          <t xml:space="preserve">Can Tho</t>
        </is>
      </c>
      <c r="E14" s="5" t="inlineStr">
        <is>
          <t xml:space="preserve">Agribusiness</t>
        </is>
      </c>
      <c r="F14" s="5" t="inlineStr">
        <is>
          <t xml:space="preserve">OF-013</t>
        </is>
      </c>
      <c r="G14" s="5" t="inlineStr">
        <is>
          <t xml:space="preserve">PG-11</t>
        </is>
      </c>
      <c r="H14" s="5" t="inlineStr">
        <is>
          <t xml:space="preserve">SITE-013</t>
        </is>
      </c>
      <c r="I14" s="5" t="inlineStr">
        <is>
          <t xml:space="preserve">On-site self-consumption</t>
        </is>
      </c>
      <c r="J14" s="5" t="inlineStr">
        <is>
          <t xml:space="preserve">B</t>
        </is>
      </c>
      <c r="K14" s="5" t="inlineStr">
        <is>
          <t xml:space="preserve">B</t>
        </is>
      </c>
      <c r="L14" s="15" t="inlineStr">
        <is>
          <t xml:space="preserve">PASS</t>
        </is>
      </c>
      <c r="M14" s="5">
        <v>1350</v>
      </c>
      <c r="N14" s="5">
        <v>1050</v>
      </c>
      <c r="O14" s="5">
        <v>13000000</v>
      </c>
      <c r="P14" s="5">
        <v>0.79</v>
      </c>
      <c r="Q14" s="21">
        <v>0.085</v>
      </c>
      <c r="R14" s="24">
        <v>15</v>
      </c>
      <c r="S14" s="15" t="inlineStr">
        <is>
          <t xml:space="preserve">PASS</t>
        </is>
      </c>
      <c r="T14" s="15" t="inlineStr">
        <is>
          <t xml:space="preserve">PASS</t>
        </is>
      </c>
      <c r="U14" s="15" t="inlineStr">
        <is>
          <t xml:space="preserve">PASS</t>
        </is>
      </c>
      <c r="V14" s="15" t="inlineStr">
        <is>
          <t xml:space="preserve">PASS</t>
        </is>
      </c>
      <c r="W14" s="15" t="inlineStr">
        <is>
          <t xml:space="preserve">PASS</t>
        </is>
      </c>
      <c r="X14" s="5" t="b">
        <v>1</v>
      </c>
      <c r="Y14" s="5">
        <v>1491000</v>
      </c>
      <c r="Z14" s="5">
        <v>1328576.424</v>
      </c>
      <c r="AA14" s="22">
        <v>0.891064</v>
      </c>
      <c r="AB14" s="21">
        <v>1</v>
      </c>
      <c r="AC14" s="20">
        <v>2595.5</v>
      </c>
      <c r="AD14" s="20">
        <v>2128.31</v>
      </c>
      <c r="AE14" s="20">
        <v>2232.13</v>
      </c>
      <c r="AF14" s="20">
        <v>2000.6114</v>
      </c>
      <c r="AG14" s="20">
        <v>2043.1776</v>
      </c>
      <c r="AH14" s="5" t="inlineStr">
        <is>
          <t xml:space="preserve">INVEST_WITH_CONDITIONS</t>
        </is>
      </c>
    </row>
    <row r="15">
      <c r="A15" s="5" t="inlineStr">
        <is>
          <t xml:space="preserve">VG-014</t>
        </is>
      </c>
      <c r="B15" s="5" t="inlineStr">
        <is>
          <t xml:space="preserve">Vung Tau Chemicals</t>
        </is>
      </c>
      <c r="C15" s="5" t="inlineStr">
        <is>
          <t xml:space="preserve">South</t>
        </is>
      </c>
      <c r="D15" s="5" t="inlineStr">
        <is>
          <t xml:space="preserve">Ba Ria - Vung Tau</t>
        </is>
      </c>
      <c r="E15" s="5" t="inlineStr">
        <is>
          <t xml:space="preserve">Chemicals</t>
        </is>
      </c>
      <c r="F15" s="5" t="inlineStr">
        <is>
          <t xml:space="preserve">OF-014</t>
        </is>
      </c>
      <c r="G15" s="5" t="inlineStr">
        <is>
          <t xml:space="preserve">PG-12</t>
        </is>
      </c>
      <c r="H15" s="5" t="inlineStr">
        <is>
          <t xml:space="preserve">SITE-014</t>
        </is>
      </c>
      <c r="I15" s="5" t="inlineStr">
        <is>
          <t xml:space="preserve">On-site private-wire sale</t>
        </is>
      </c>
      <c r="J15" s="5" t="inlineStr">
        <is>
          <t xml:space="preserve">A</t>
        </is>
      </c>
      <c r="K15" s="5" t="inlineStr">
        <is>
          <t xml:space="preserve">B</t>
        </is>
      </c>
      <c r="L15" s="15" t="inlineStr">
        <is>
          <t xml:space="preserve">PASS</t>
        </is>
      </c>
      <c r="M15" s="5">
        <v>1500</v>
      </c>
      <c r="N15" s="5">
        <v>1250</v>
      </c>
      <c r="O15" s="5">
        <v>26000000</v>
      </c>
      <c r="P15" s="5">
        <v>0.77</v>
      </c>
      <c r="Q15" s="21">
        <v>0.08</v>
      </c>
      <c r="R15" s="24">
        <v>15</v>
      </c>
      <c r="S15" s="15" t="inlineStr">
        <is>
          <t xml:space="preserve">PASS</t>
        </is>
      </c>
      <c r="T15" s="15" t="inlineStr">
        <is>
          <t xml:space="preserve">PASS</t>
        </is>
      </c>
      <c r="U15" s="15" t="inlineStr">
        <is>
          <t xml:space="preserve">PASS</t>
        </is>
      </c>
      <c r="V15" s="15" t="inlineStr">
        <is>
          <t xml:space="preserve">PASS</t>
        </is>
      </c>
      <c r="W15" s="15" t="inlineStr">
        <is>
          <t xml:space="preserve">PASS</t>
        </is>
      </c>
      <c r="X15" s="5" t="b">
        <v>1</v>
      </c>
      <c r="Y15" s="5">
        <v>1775000</v>
      </c>
      <c r="Z15" s="5">
        <v>1593012.8</v>
      </c>
      <c r="AA15" s="22">
        <v>0.897472</v>
      </c>
      <c r="AB15" s="21">
        <v>1</v>
      </c>
      <c r="AC15" s="20">
        <v>2566.5</v>
      </c>
      <c r="AD15" s="20">
        <v>2104.53</v>
      </c>
      <c r="AE15" s="20">
        <v>2207.19</v>
      </c>
      <c r="AF15" s="20">
        <v>1978.2582</v>
      </c>
      <c r="AG15" s="20">
        <v>2020.3488</v>
      </c>
      <c r="AH15" s="5" t="inlineStr">
        <is>
          <t xml:space="preserve">INVEST_WITH_CONDITIONS</t>
        </is>
      </c>
    </row>
    <row r="16">
      <c r="A16" s="5" t="inlineStr">
        <is>
          <t xml:space="preserve">VG-015</t>
        </is>
      </c>
      <c r="B16" s="5" t="inlineStr">
        <is>
          <t xml:space="preserve">Tay Ninh Components</t>
        </is>
      </c>
      <c r="C16" s="5" t="inlineStr">
        <is>
          <t xml:space="preserve">South</t>
        </is>
      </c>
      <c r="D16" s="5" t="inlineStr">
        <is>
          <t xml:space="preserve">Tay Ninh</t>
        </is>
      </c>
      <c r="E16" s="5" t="inlineStr">
        <is>
          <t xml:space="preserve">Electronics</t>
        </is>
      </c>
      <c r="F16" s="5" t="inlineStr">
        <is>
          <t xml:space="preserve">OF-015</t>
        </is>
      </c>
      <c r="G16" s="5" t="inlineStr">
        <is>
          <t xml:space="preserve">PG-01</t>
        </is>
      </c>
      <c r="H16" s="5" t="inlineStr">
        <is>
          <t xml:space="preserve">SITE-015</t>
        </is>
      </c>
      <c r="I16" s="5" t="inlineStr">
        <is>
          <t xml:space="preserve">On-site private-wire sale</t>
        </is>
      </c>
      <c r="J16" s="5" t="inlineStr">
        <is>
          <t xml:space="preserve">B</t>
        </is>
      </c>
      <c r="K16" s="5" t="inlineStr">
        <is>
          <t xml:space="preserve">B</t>
        </is>
      </c>
      <c r="L16" s="15" t="inlineStr">
        <is>
          <t xml:space="preserve">PASS</t>
        </is>
      </c>
      <c r="M16" s="5">
        <v>1450</v>
      </c>
      <c r="N16" s="5">
        <v>1200</v>
      </c>
      <c r="O16" s="5">
        <v>14500000</v>
      </c>
      <c r="P16" s="5">
        <v>0.78</v>
      </c>
      <c r="Q16" s="21">
        <v>0.08</v>
      </c>
      <c r="R16" s="24">
        <v>15</v>
      </c>
      <c r="S16" s="15" t="inlineStr">
        <is>
          <t xml:space="preserve">PASS</t>
        </is>
      </c>
      <c r="T16" s="15" t="inlineStr">
        <is>
          <t xml:space="preserve">PASS</t>
        </is>
      </c>
      <c r="U16" s="15" t="inlineStr">
        <is>
          <t xml:space="preserve">PASS</t>
        </is>
      </c>
      <c r="V16" s="15" t="inlineStr">
        <is>
          <t xml:space="preserve">PASS</t>
        </is>
      </c>
      <c r="W16" s="15" t="inlineStr">
        <is>
          <t xml:space="preserve">PASS</t>
        </is>
      </c>
      <c r="X16" s="5" t="b">
        <v>1</v>
      </c>
      <c r="Y16" s="5">
        <v>1704000</v>
      </c>
      <c r="Z16" s="5">
        <v>1529292.288</v>
      </c>
      <c r="AA16" s="22">
        <v>0.897472</v>
      </c>
      <c r="AB16" s="21">
        <v>1</v>
      </c>
      <c r="AC16" s="20">
        <v>2581</v>
      </c>
      <c r="AD16" s="20">
        <v>2116.42</v>
      </c>
      <c r="AE16" s="20">
        <v>2219.66</v>
      </c>
      <c r="AF16" s="20">
        <v>1989.4348</v>
      </c>
      <c r="AG16" s="20">
        <v>2031.7632</v>
      </c>
      <c r="AH16" s="5" t="inlineStr">
        <is>
          <t xml:space="preserve">INVEST_WITH_CONDITIONS</t>
        </is>
      </c>
    </row>
    <row r="17">
      <c r="A17" s="5" t="inlineStr">
        <is>
          <t xml:space="preserve">VG-016</t>
        </is>
      </c>
      <c r="B17" s="5" t="inlineStr">
        <is>
          <t xml:space="preserve">Binh Phuoc Rubber</t>
        </is>
      </c>
      <c r="C17" s="5" t="inlineStr">
        <is>
          <t xml:space="preserve">South</t>
        </is>
      </c>
      <c r="D17" s="5" t="inlineStr">
        <is>
          <t xml:space="preserve">Binh Phuoc</t>
        </is>
      </c>
      <c r="E17" s="5" t="inlineStr">
        <is>
          <t xml:space="preserve">Rubber</t>
        </is>
      </c>
      <c r="F17" s="5" t="inlineStr">
        <is>
          <t xml:space="preserve">OF-016</t>
        </is>
      </c>
      <c r="G17" s="5" t="inlineStr">
        <is>
          <t xml:space="preserve">PG-13</t>
        </is>
      </c>
      <c r="H17" s="5" t="inlineStr">
        <is>
          <t xml:space="preserve">SITE-016</t>
        </is>
      </c>
      <c r="I17" s="5" t="inlineStr">
        <is>
          <t xml:space="preserve">On-site private-wire sale</t>
        </is>
      </c>
      <c r="J17" s="5" t="inlineStr">
        <is>
          <t xml:space="preserve">B</t>
        </is>
      </c>
      <c r="K17" s="5" t="inlineStr">
        <is>
          <t xml:space="preserve">C</t>
        </is>
      </c>
      <c r="L17" s="15" t="inlineStr">
        <is>
          <t xml:space="preserve">PASS</t>
        </is>
      </c>
      <c r="M17" s="5">
        <v>1300</v>
      </c>
      <c r="N17" s="5">
        <v>1000</v>
      </c>
      <c r="O17" s="5">
        <v>14000000</v>
      </c>
      <c r="P17" s="5">
        <v>0.74</v>
      </c>
      <c r="Q17" s="21">
        <v>0.09</v>
      </c>
      <c r="R17" s="24">
        <v>8</v>
      </c>
      <c r="S17" s="15" t="inlineStr">
        <is>
          <t xml:space="preserve">PASS</t>
        </is>
      </c>
      <c r="T17" s="15" t="inlineStr">
        <is>
          <t xml:space="preserve">PASS</t>
        </is>
      </c>
      <c r="U17" s="15" t="inlineStr">
        <is>
          <t xml:space="preserve">PASS</t>
        </is>
      </c>
      <c r="V17" s="17" t="inlineStr">
        <is>
          <t xml:space="preserve">RENEGOTIATE</t>
        </is>
      </c>
      <c r="W17" s="16" t="inlineStr">
        <is>
          <t xml:space="preserve">FAIL</t>
        </is>
      </c>
      <c r="X17" s="5" t="b">
        <v>0</v>
      </c>
      <c r="Y17" s="5">
        <v>1420000</v>
      </c>
      <c r="Z17" s="5">
        <v>1256211.52</v>
      </c>
      <c r="AA17" s="22">
        <v>0.884656</v>
      </c>
      <c r="AB17" s="21">
        <v>1</v>
      </c>
      <c r="AC17" s="20">
        <v>2523</v>
      </c>
      <c r="AD17" s="20">
        <v>2270.7</v>
      </c>
      <c r="AE17" s="20">
        <v>2169.78</v>
      </c>
      <c r="AF17" s="20">
        <v>2134.458</v>
      </c>
      <c r="AG17" s="20">
        <v>2179.872</v>
      </c>
      <c r="AH17" s="17" t="inlineStr">
        <is>
          <t xml:space="preserve">RENEGOTIATE</t>
        </is>
      </c>
    </row>
    <row r="18">
      <c r="A18" s="5" t="inlineStr">
        <is>
          <t xml:space="preserve">VG-017</t>
        </is>
      </c>
      <c r="B18" s="5" t="inlineStr">
        <is>
          <t xml:space="preserve">Hai Duong Steel</t>
        </is>
      </c>
      <c r="C18" s="5" t="inlineStr">
        <is>
          <t xml:space="preserve">North</t>
        </is>
      </c>
      <c r="D18" s="5" t="inlineStr">
        <is>
          <t xml:space="preserve">Hai Duong</t>
        </is>
      </c>
      <c r="E18" s="5" t="inlineStr">
        <is>
          <t xml:space="preserve">Steel</t>
        </is>
      </c>
      <c r="F18" s="5" t="inlineStr">
        <is>
          <t xml:space="preserve">OF-017</t>
        </is>
      </c>
      <c r="G18" s="5" t="inlineStr">
        <is>
          <t xml:space="preserve">PG-14</t>
        </is>
      </c>
      <c r="H18" s="5" t="inlineStr">
        <is>
          <t xml:space="preserve">SITE-017</t>
        </is>
      </c>
      <c r="I18" s="5" t="inlineStr">
        <is>
          <t xml:space="preserve">On-site private-wire sale</t>
        </is>
      </c>
      <c r="J18" s="5" t="inlineStr">
        <is>
          <t xml:space="preserve">B</t>
        </is>
      </c>
      <c r="K18" s="5" t="inlineStr">
        <is>
          <t xml:space="preserve">B</t>
        </is>
      </c>
      <c r="L18" s="5" t="inlineStr">
        <is>
          <t xml:space="preserve">HOLD</t>
        </is>
      </c>
      <c r="M18" s="5">
        <v>1500</v>
      </c>
      <c r="N18" s="5">
        <v>1200</v>
      </c>
      <c r="O18" s="5">
        <v>23000000</v>
      </c>
      <c r="P18" s="5">
        <v>0.72</v>
      </c>
      <c r="Q18" s="21">
        <v>0.09</v>
      </c>
      <c r="R18" s="24">
        <v>15</v>
      </c>
      <c r="S18" s="15" t="inlineStr">
        <is>
          <t xml:space="preserve">PASS</t>
        </is>
      </c>
      <c r="T18" s="5" t="inlineStr">
        <is>
          <t xml:space="preserve">HOLD</t>
        </is>
      </c>
      <c r="U18" s="15" t="inlineStr">
        <is>
          <t xml:space="preserve">PASS</t>
        </is>
      </c>
      <c r="V18" s="17" t="inlineStr">
        <is>
          <t xml:space="preserve">RENEGOTIATE</t>
        </is>
      </c>
      <c r="W18" s="15" t="inlineStr">
        <is>
          <t xml:space="preserve">PASS</t>
        </is>
      </c>
      <c r="X18" s="5" t="b">
        <v>0</v>
      </c>
      <c r="Y18" s="5">
        <v>1584000</v>
      </c>
      <c r="Z18" s="5">
        <v>1401295.104</v>
      </c>
      <c r="AA18" s="22">
        <v>0.884656</v>
      </c>
      <c r="AB18" s="21">
        <v>1</v>
      </c>
      <c r="AC18" s="20">
        <v>2494</v>
      </c>
      <c r="AD18" s="20">
        <v>2244.6</v>
      </c>
      <c r="AE18" s="20">
        <v>2144.84</v>
      </c>
      <c r="AF18" s="20">
        <v>2109.924</v>
      </c>
      <c r="AG18" s="20">
        <v>2154.816</v>
      </c>
      <c r="AH18" s="17" t="inlineStr">
        <is>
          <t xml:space="preserve">RENEGOTIATE</t>
        </is>
      </c>
    </row>
    <row r="19">
      <c r="A19" s="5" t="inlineStr">
        <is>
          <t xml:space="preserve">VG-018</t>
        </is>
      </c>
      <c r="B19" s="5" t="inlineStr">
        <is>
          <t xml:space="preserve">Thai Nguyen Machinery</t>
        </is>
      </c>
      <c r="C19" s="5" t="inlineStr">
        <is>
          <t xml:space="preserve">North</t>
        </is>
      </c>
      <c r="D19" s="5" t="inlineStr">
        <is>
          <t xml:space="preserve">Thai Nguyen</t>
        </is>
      </c>
      <c r="E19" s="5" t="inlineStr">
        <is>
          <t xml:space="preserve">Machinery</t>
        </is>
      </c>
      <c r="F19" s="5" t="inlineStr">
        <is>
          <t xml:space="preserve">OF-018</t>
        </is>
      </c>
      <c r="G19" s="5" t="inlineStr">
        <is>
          <t xml:space="preserve">PG-15</t>
        </is>
      </c>
      <c r="H19" s="5" t="inlineStr">
        <is>
          <t xml:space="preserve">SITE-018</t>
        </is>
      </c>
      <c r="I19" s="5" t="inlineStr">
        <is>
          <t xml:space="preserve">On-site private-wire sale</t>
        </is>
      </c>
      <c r="J19" s="5" t="inlineStr">
        <is>
          <t xml:space="preserve">C</t>
        </is>
      </c>
      <c r="K19" s="5" t="inlineStr">
        <is>
          <t xml:space="preserve">B</t>
        </is>
      </c>
      <c r="L19" s="15" t="inlineStr">
        <is>
          <t xml:space="preserve">PASS</t>
        </is>
      </c>
      <c r="M19" s="5">
        <v>1450</v>
      </c>
      <c r="N19" s="5">
        <v>1150</v>
      </c>
      <c r="O19" s="5">
        <v>15500000</v>
      </c>
      <c r="P19" s="5">
        <v>0.77</v>
      </c>
      <c r="Q19" s="21">
        <v>0.08</v>
      </c>
      <c r="R19" s="24">
        <v>15</v>
      </c>
      <c r="S19" s="15" t="inlineStr">
        <is>
          <t xml:space="preserve">PASS</t>
        </is>
      </c>
      <c r="T19" s="15" t="inlineStr">
        <is>
          <t xml:space="preserve">PASS</t>
        </is>
      </c>
      <c r="U19" s="15" t="inlineStr">
        <is>
          <t xml:space="preserve">PASS</t>
        </is>
      </c>
      <c r="V19" s="15" t="inlineStr">
        <is>
          <t xml:space="preserve">PASS</t>
        </is>
      </c>
      <c r="W19" s="15" t="inlineStr">
        <is>
          <t xml:space="preserve">PASS</t>
        </is>
      </c>
      <c r="X19" s="5" t="b">
        <v>1</v>
      </c>
      <c r="Y19" s="5">
        <v>1518000</v>
      </c>
      <c r="Z19" s="5">
        <v>1362362.496</v>
      </c>
      <c r="AA19" s="22">
        <v>0.897472</v>
      </c>
      <c r="AB19" s="21">
        <v>1</v>
      </c>
      <c r="AC19" s="20">
        <v>2566.5</v>
      </c>
      <c r="AD19" s="20">
        <v>2104.53</v>
      </c>
      <c r="AE19" s="20">
        <v>2207.19</v>
      </c>
      <c r="AF19" s="20">
        <v>1978.2582</v>
      </c>
      <c r="AG19" s="20">
        <v>2020.3488</v>
      </c>
      <c r="AH19" s="5" t="inlineStr">
        <is>
          <t xml:space="preserve">INVEST_WITH_CONDITIONS</t>
        </is>
      </c>
    </row>
    <row r="20">
      <c r="A20" s="5" t="inlineStr">
        <is>
          <t xml:space="preserve">VG-019</t>
        </is>
      </c>
      <c r="B20" s="5" t="inlineStr">
        <is>
          <t xml:space="preserve">Hanoi Retail DC</t>
        </is>
      </c>
      <c r="C20" s="5" t="inlineStr">
        <is>
          <t xml:space="preserve">North</t>
        </is>
      </c>
      <c r="D20" s="5" t="inlineStr">
        <is>
          <t xml:space="preserve">Hanoi</t>
        </is>
      </c>
      <c r="E20" s="5" t="inlineStr">
        <is>
          <t xml:space="preserve">Retail</t>
        </is>
      </c>
      <c r="F20" s="5" t="inlineStr">
        <is>
          <t xml:space="preserve">OF-019</t>
        </is>
      </c>
      <c r="G20" s="5" t="inlineStr">
        <is>
          <t xml:space="preserve">PG-16</t>
        </is>
      </c>
      <c r="H20" s="5" t="inlineStr">
        <is>
          <t xml:space="preserve">SITE-019</t>
        </is>
      </c>
      <c r="I20" s="5" t="inlineStr">
        <is>
          <t xml:space="preserve">On-site self-consumption</t>
        </is>
      </c>
      <c r="J20" s="5" t="inlineStr">
        <is>
          <t xml:space="preserve">B</t>
        </is>
      </c>
      <c r="K20" s="5" t="inlineStr">
        <is>
          <t xml:space="preserve">B</t>
        </is>
      </c>
      <c r="L20" s="15" t="inlineStr">
        <is>
          <t xml:space="preserve">PASS</t>
        </is>
      </c>
      <c r="M20" s="5">
        <v>1300</v>
      </c>
      <c r="N20" s="5">
        <v>1050</v>
      </c>
      <c r="O20" s="5">
        <v>20000000</v>
      </c>
      <c r="P20" s="5">
        <v>0.73</v>
      </c>
      <c r="Q20" s="21">
        <v>0.1</v>
      </c>
      <c r="R20" s="24">
        <v>15</v>
      </c>
      <c r="S20" s="15" t="inlineStr">
        <is>
          <t xml:space="preserve">PASS</t>
        </is>
      </c>
      <c r="T20" s="15" t="inlineStr">
        <is>
          <t xml:space="preserve">PASS</t>
        </is>
      </c>
      <c r="U20" s="15" t="inlineStr">
        <is>
          <t xml:space="preserve">PASS</t>
        </is>
      </c>
      <c r="V20" s="17" t="inlineStr">
        <is>
          <t xml:space="preserve">RENEGOTIATE</t>
        </is>
      </c>
      <c r="W20" s="15" t="inlineStr">
        <is>
          <t xml:space="preserve">PASS</t>
        </is>
      </c>
      <c r="X20" s="5" t="b">
        <v>0</v>
      </c>
      <c r="Y20" s="5">
        <v>1386000</v>
      </c>
      <c r="Z20" s="5">
        <v>1208370.24</v>
      </c>
      <c r="AA20" s="22">
        <v>0.87184</v>
      </c>
      <c r="AB20" s="21">
        <v>1</v>
      </c>
      <c r="AC20" s="20">
        <v>2508.5</v>
      </c>
      <c r="AD20" s="20">
        <v>2257.65</v>
      </c>
      <c r="AE20" s="20">
        <v>2157.31</v>
      </c>
      <c r="AF20" s="20">
        <v>2122.191</v>
      </c>
      <c r="AG20" s="20">
        <v>2167.344</v>
      </c>
      <c r="AH20" s="17" t="inlineStr">
        <is>
          <t xml:space="preserve">RENEGOTIATE</t>
        </is>
      </c>
    </row>
    <row r="21">
      <c r="A21" s="5" t="inlineStr">
        <is>
          <t xml:space="preserve">VG-020</t>
        </is>
      </c>
      <c r="B21" s="5" t="inlineStr">
        <is>
          <t xml:space="preserve">Soc Trang Seafood</t>
        </is>
      </c>
      <c r="C21" s="5" t="inlineStr">
        <is>
          <t xml:space="preserve">South</t>
        </is>
      </c>
      <c r="D21" s="5" t="inlineStr">
        <is>
          <t xml:space="preserve">Soc Trang</t>
        </is>
      </c>
      <c r="E21" s="5" t="inlineStr">
        <is>
          <t xml:space="preserve">Food &amp; Beverage</t>
        </is>
      </c>
      <c r="F21" s="5" t="inlineStr">
        <is>
          <t xml:space="preserve">OF-020</t>
        </is>
      </c>
      <c r="G21" s="5" t="inlineStr">
        <is>
          <t xml:space="preserve">PG-17</t>
        </is>
      </c>
      <c r="H21" s="5" t="inlineStr">
        <is>
          <t xml:space="preserve">SITE-020</t>
        </is>
      </c>
      <c r="I21" s="5" t="inlineStr">
        <is>
          <t xml:space="preserve">Direct electricity trading / DPPA-style</t>
        </is>
      </c>
      <c r="J21" s="5" t="inlineStr">
        <is>
          <t xml:space="preserve">C</t>
        </is>
      </c>
      <c r="K21" s="5" t="inlineStr">
        <is>
          <t xml:space="preserve">B</t>
        </is>
      </c>
      <c r="L21" s="15" t="inlineStr">
        <is>
          <t xml:space="preserve">PASS</t>
        </is>
      </c>
      <c r="M21" s="5">
        <v>1350</v>
      </c>
      <c r="N21" s="5">
        <v>1050</v>
      </c>
      <c r="O21" s="5">
        <v>18000000</v>
      </c>
      <c r="P21" s="5">
        <v>0.78</v>
      </c>
      <c r="Q21" s="21">
        <v>0.09</v>
      </c>
      <c r="R21" s="24">
        <v>15</v>
      </c>
      <c r="S21" s="5" t="inlineStr">
        <is>
          <t xml:space="preserve">HOLD_FOR_LEGAL_REVIEW</t>
        </is>
      </c>
      <c r="T21" s="15" t="inlineStr">
        <is>
          <t xml:space="preserve">PASS</t>
        </is>
      </c>
      <c r="U21" s="15" t="inlineStr">
        <is>
          <t xml:space="preserve">PASS</t>
        </is>
      </c>
      <c r="V21" s="15" t="inlineStr">
        <is>
          <t xml:space="preserve">PASS</t>
        </is>
      </c>
      <c r="W21" s="15" t="inlineStr">
        <is>
          <t xml:space="preserve">PASS</t>
        </is>
      </c>
      <c r="X21" s="5" t="b">
        <v>0</v>
      </c>
      <c r="Y21" s="5">
        <v>1491000</v>
      </c>
      <c r="Z21" s="5">
        <v>1319022.096</v>
      </c>
      <c r="AA21" s="22">
        <v>0.884656</v>
      </c>
      <c r="AB21" s="21">
        <v>1</v>
      </c>
      <c r="AC21" s="20">
        <v>2581</v>
      </c>
      <c r="AD21" s="20">
        <v>2116.42</v>
      </c>
      <c r="AE21" s="20">
        <v>2219.66</v>
      </c>
      <c r="AF21" s="20">
        <v>1989.4348</v>
      </c>
      <c r="AG21" s="20">
        <v>2031.7632</v>
      </c>
      <c r="AH21" s="17" t="inlineStr">
        <is>
          <t xml:space="preserve">RENEGOTIATE</t>
        </is>
      </c>
    </row>
  </sheetData>
  <autoFilter ref="A1:AH21"/>
  <pageMargins left="0.35" right="0.35" top="0.5" bottom="0.5" header="0.2" footer="0.2"/>
</worksheet>
</file>

<file path=xl/worksheets/sheet5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24.00" customWidth="1"/>
    <col min="3" max="3" width="13.50" customWidth="1"/>
    <col min="4" max="4" width="13.50" customWidth="1"/>
    <col min="5" max="5" width="13.50" customWidth="1"/>
    <col min="6" max="6" width="16.20" customWidth="1"/>
    <col min="7" max="7" width="18.90" customWidth="1"/>
    <col min="8" max="8" width="17.10" customWidth="1"/>
    <col min="9" max="9" width="12.60" customWidth="1"/>
    <col min="10" max="10" width="12.60" customWidth="1"/>
  </cols>
  <sheetData>
    <row r="1" ht="30" customHeight="1">
      <c r="A1" s="4" t="inlineStr">
        <is>
          <t xml:space="preserve">offtaker_id</t>
        </is>
      </c>
      <c r="B1" s="4" t="inlineStr">
        <is>
          <t xml:space="preserve">offtaker_name_simulated</t>
        </is>
      </c>
      <c r="C1" s="4" t="inlineStr">
        <is>
          <t xml:space="preserve">parent_group_id</t>
        </is>
      </c>
      <c r="D1" s="4" t="inlineStr">
        <is>
          <t xml:space="preserve">industry</t>
        </is>
      </c>
      <c r="E1" s="4" t="inlineStr">
        <is>
          <t xml:space="preserve">annual_load_kwh</t>
        </is>
      </c>
      <c r="F1" s="4" t="inlineStr">
        <is>
          <t xml:space="preserve">daytime_load_share</t>
        </is>
      </c>
      <c r="G1" s="4" t="inlineStr">
        <is>
          <t xml:space="preserve">credit_grade_internal</t>
        </is>
      </c>
      <c r="H1" s="4" t="inlineStr">
        <is>
          <t xml:space="preserve">credit_data_quality</t>
        </is>
      </c>
      <c r="I1" s="4" t="inlineStr">
        <is>
          <t xml:space="preserve">customer_class</t>
        </is>
      </c>
      <c r="J1" s="4" t="inlineStr">
        <is>
          <t xml:space="preserve">voltage_level</t>
        </is>
      </c>
    </row>
    <row r="2">
      <c r="A2" s="5" t="inlineStr">
        <is>
          <t xml:space="preserve">OF-001</t>
        </is>
      </c>
      <c r="B2" s="5" t="inlineStr">
        <is>
          <t xml:space="preserve">Simulated Electronics Offtaker 001</t>
        </is>
      </c>
      <c r="C2" s="5" t="inlineStr">
        <is>
          <t xml:space="preserve">PG-01</t>
        </is>
      </c>
      <c r="D2" s="5" t="inlineStr">
        <is>
          <t xml:space="preserve">Electronics</t>
        </is>
      </c>
      <c r="E2" s="5">
        <v>15000000</v>
      </c>
      <c r="F2" s="5">
        <v>0.75</v>
      </c>
      <c r="G2" s="5" t="inlineStr">
        <is>
          <t xml:space="preserve">A</t>
        </is>
      </c>
      <c r="H2" s="5" t="inlineStr">
        <is>
          <t xml:space="preserve">MEDIUM</t>
        </is>
      </c>
      <c r="I2" s="5" t="inlineStr">
        <is>
          <t xml:space="preserve">industrial_C&amp;I</t>
        </is>
      </c>
      <c r="J2" s="5" t="inlineStr">
        <is>
          <t xml:space="preserve">medium_voltage</t>
        </is>
      </c>
    </row>
    <row r="3">
      <c r="A3" s="5" t="inlineStr">
        <is>
          <t xml:space="preserve">OF-002</t>
        </is>
      </c>
      <c r="B3" s="5" t="inlineStr">
        <is>
          <t xml:space="preserve">Simulated Electronics Offtaker 002</t>
        </is>
      </c>
      <c r="C3" s="5" t="inlineStr">
        <is>
          <t xml:space="preserve">PG-01</t>
        </is>
      </c>
      <c r="D3" s="5" t="inlineStr">
        <is>
          <t xml:space="preserve">Electronics</t>
        </is>
      </c>
      <c r="E3" s="5">
        <v>17000000</v>
      </c>
      <c r="F3" s="5">
        <v>0.82</v>
      </c>
      <c r="G3" s="5" t="inlineStr">
        <is>
          <t xml:space="preserve">A</t>
        </is>
      </c>
      <c r="H3" s="5" t="inlineStr">
        <is>
          <t xml:space="preserve">MEDIUM</t>
        </is>
      </c>
      <c r="I3" s="5" t="inlineStr">
        <is>
          <t xml:space="preserve">industrial_C&amp;I</t>
        </is>
      </c>
      <c r="J3" s="5" t="inlineStr">
        <is>
          <t xml:space="preserve">medium_voltage</t>
        </is>
      </c>
    </row>
    <row r="4">
      <c r="A4" s="5" t="inlineStr">
        <is>
          <t xml:space="preserve">OF-003</t>
        </is>
      </c>
      <c r="B4" s="5" t="inlineStr">
        <is>
          <t xml:space="preserve">Simulated Logistics Offtaker 003</t>
        </is>
      </c>
      <c r="C4" s="5" t="inlineStr">
        <is>
          <t xml:space="preserve">PG-02</t>
        </is>
      </c>
      <c r="D4" s="5" t="inlineStr">
        <is>
          <t xml:space="preserve">Logistics</t>
        </is>
      </c>
      <c r="E4" s="5">
        <v>19000000</v>
      </c>
      <c r="F4" s="5">
        <v>0.78</v>
      </c>
      <c r="G4" s="5" t="inlineStr">
        <is>
          <t xml:space="preserve">B</t>
        </is>
      </c>
      <c r="H4" s="5" t="inlineStr">
        <is>
          <t xml:space="preserve">MEDIUM</t>
        </is>
      </c>
      <c r="I4" s="5" t="inlineStr">
        <is>
          <t xml:space="preserve">industrial_C&amp;I</t>
        </is>
      </c>
      <c r="J4" s="5" t="inlineStr">
        <is>
          <t xml:space="preserve">medium_voltage</t>
        </is>
      </c>
    </row>
    <row r="5">
      <c r="A5" s="5" t="inlineStr">
        <is>
          <t xml:space="preserve">OF-004</t>
        </is>
      </c>
      <c r="B5" s="5" t="inlineStr">
        <is>
          <t xml:space="preserve">Simulated Materials Offtaker 004</t>
        </is>
      </c>
      <c r="C5" s="5" t="inlineStr">
        <is>
          <t xml:space="preserve">PG-03</t>
        </is>
      </c>
      <c r="D5" s="5" t="inlineStr">
        <is>
          <t xml:space="preserve">Materials</t>
        </is>
      </c>
      <c r="E5" s="5">
        <v>30000000</v>
      </c>
      <c r="F5" s="5">
        <v>0.68</v>
      </c>
      <c r="G5" s="5" t="inlineStr">
        <is>
          <t xml:space="preserve">A</t>
        </is>
      </c>
      <c r="H5" s="5" t="inlineStr">
        <is>
          <t xml:space="preserve">MEDIUM</t>
        </is>
      </c>
      <c r="I5" s="5" t="inlineStr">
        <is>
          <t xml:space="preserve">industrial_C&amp;I</t>
        </is>
      </c>
      <c r="J5" s="5" t="inlineStr">
        <is>
          <t xml:space="preserve">medium_voltage</t>
        </is>
      </c>
    </row>
    <row r="6">
      <c r="A6" s="5" t="inlineStr">
        <is>
          <t xml:space="preserve">OF-005</t>
        </is>
      </c>
      <c r="B6" s="5" t="inlineStr">
        <is>
          <t xml:space="preserve">Simulated Food &amp; Beverage Offtaker 005</t>
        </is>
      </c>
      <c r="C6" s="5" t="inlineStr">
        <is>
          <t xml:space="preserve">PG-04</t>
        </is>
      </c>
      <c r="D6" s="5" t="inlineStr">
        <is>
          <t xml:space="preserve">Food &amp; Beverage</t>
        </is>
      </c>
      <c r="E6" s="5">
        <v>16000000</v>
      </c>
      <c r="F6" s="5">
        <v>0.88</v>
      </c>
      <c r="G6" s="5" t="inlineStr">
        <is>
          <t xml:space="preserve">A</t>
        </is>
      </c>
      <c r="H6" s="5" t="inlineStr">
        <is>
          <t xml:space="preserve">MEDIUM</t>
        </is>
      </c>
      <c r="I6" s="5" t="inlineStr">
        <is>
          <t xml:space="preserve">industrial_C&amp;I</t>
        </is>
      </c>
      <c r="J6" s="5" t="inlineStr">
        <is>
          <t xml:space="preserve">medium_voltage</t>
        </is>
      </c>
    </row>
    <row r="7">
      <c r="A7" s="5" t="inlineStr">
        <is>
          <t xml:space="preserve">OF-006</t>
        </is>
      </c>
      <c r="B7" s="5" t="inlineStr">
        <is>
          <t xml:space="preserve">Simulated Textile Offtaker 006</t>
        </is>
      </c>
      <c r="C7" s="5" t="inlineStr">
        <is>
          <t xml:space="preserve">PG-05</t>
        </is>
      </c>
      <c r="D7" s="5" t="inlineStr">
        <is>
          <t xml:space="preserve">Textile</t>
        </is>
      </c>
      <c r="E7" s="5">
        <v>25000000</v>
      </c>
      <c r="F7" s="5">
        <v>0.76</v>
      </c>
      <c r="G7" s="5" t="inlineStr">
        <is>
          <t xml:space="preserve">D</t>
        </is>
      </c>
      <c r="H7" s="5" t="inlineStr">
        <is>
          <t xml:space="preserve">LOW</t>
        </is>
      </c>
      <c r="I7" s="5" t="inlineStr">
        <is>
          <t xml:space="preserve">industrial_C&amp;I</t>
        </is>
      </c>
      <c r="J7" s="5" t="inlineStr">
        <is>
          <t xml:space="preserve">medium_voltage</t>
        </is>
      </c>
    </row>
    <row r="8">
      <c r="A8" s="5" t="inlineStr">
        <is>
          <t xml:space="preserve">OF-007</t>
        </is>
      </c>
      <c r="B8" s="5" t="inlineStr">
        <is>
          <t xml:space="preserve">Simulated Packaging Offtaker 007</t>
        </is>
      </c>
      <c r="C8" s="5" t="inlineStr">
        <is>
          <t xml:space="preserve">PG-06</t>
        </is>
      </c>
      <c r="D8" s="5" t="inlineStr">
        <is>
          <t xml:space="preserve">Packaging</t>
        </is>
      </c>
      <c r="E8" s="5">
        <v>18000000</v>
      </c>
      <c r="F8" s="5">
        <v>0.8</v>
      </c>
      <c r="G8" s="5" t="inlineStr">
        <is>
          <t xml:space="preserve">B</t>
        </is>
      </c>
      <c r="H8" s="5" t="inlineStr">
        <is>
          <t xml:space="preserve">MEDIUM</t>
        </is>
      </c>
      <c r="I8" s="5" t="inlineStr">
        <is>
          <t xml:space="preserve">industrial_C&amp;I</t>
        </is>
      </c>
      <c r="J8" s="5" t="inlineStr">
        <is>
          <t xml:space="preserve">medium_voltage</t>
        </is>
      </c>
    </row>
    <row r="9">
      <c r="A9" s="5" t="inlineStr">
        <is>
          <t xml:space="preserve">OF-008</t>
        </is>
      </c>
      <c r="B9" s="5" t="inlineStr">
        <is>
          <t xml:space="preserve">Simulated Hospitality Offtaker 008</t>
        </is>
      </c>
      <c r="C9" s="5" t="inlineStr">
        <is>
          <t xml:space="preserve">PG-07</t>
        </is>
      </c>
      <c r="D9" s="5" t="inlineStr">
        <is>
          <t xml:space="preserve">Hospitality</t>
        </is>
      </c>
      <c r="E9" s="5">
        <v>21000000</v>
      </c>
      <c r="F9" s="5">
        <v>0.7</v>
      </c>
      <c r="G9" s="5" t="inlineStr">
        <is>
          <t xml:space="preserve">B</t>
        </is>
      </c>
      <c r="H9" s="5" t="inlineStr">
        <is>
          <t xml:space="preserve">MEDIUM</t>
        </is>
      </c>
      <c r="I9" s="5" t="inlineStr">
        <is>
          <t xml:space="preserve">industrial_C&amp;I</t>
        </is>
      </c>
      <c r="J9" s="5" t="inlineStr">
        <is>
          <t xml:space="preserve">medium_voltage</t>
        </is>
      </c>
    </row>
    <row r="10">
      <c r="A10" s="5" t="inlineStr">
        <is>
          <t xml:space="preserve">OF-009</t>
        </is>
      </c>
      <c r="B10" s="5" t="inlineStr">
        <is>
          <t xml:space="preserve">Simulated Automotive Offtaker 009</t>
        </is>
      </c>
      <c r="C10" s="5" t="inlineStr">
        <is>
          <t xml:space="preserve">PG-08</t>
        </is>
      </c>
      <c r="D10" s="5" t="inlineStr">
        <is>
          <t xml:space="preserve">Automotive</t>
        </is>
      </c>
      <c r="E10" s="5">
        <v>27000000</v>
      </c>
      <c r="F10" s="5">
        <v>0.74</v>
      </c>
      <c r="G10" s="5" t="inlineStr">
        <is>
          <t xml:space="preserve">A</t>
        </is>
      </c>
      <c r="H10" s="5" t="inlineStr">
        <is>
          <t xml:space="preserve">MEDIUM</t>
        </is>
      </c>
      <c r="I10" s="5" t="inlineStr">
        <is>
          <t xml:space="preserve">industrial_C&amp;I</t>
        </is>
      </c>
      <c r="J10" s="5" t="inlineStr">
        <is>
          <t xml:space="preserve">medium_voltage</t>
        </is>
      </c>
    </row>
    <row r="11">
      <c r="A11" s="5" t="inlineStr">
        <is>
          <t xml:space="preserve">OF-010</t>
        </is>
      </c>
      <c r="B11" s="5" t="inlineStr">
        <is>
          <t xml:space="preserve">Simulated Pharma Offtaker 010</t>
        </is>
      </c>
      <c r="C11" s="5" t="inlineStr">
        <is>
          <t xml:space="preserve">PG-09</t>
        </is>
      </c>
      <c r="D11" s="5" t="inlineStr">
        <is>
          <t xml:space="preserve">Pharma</t>
        </is>
      </c>
      <c r="E11" s="5">
        <v>22000000</v>
      </c>
      <c r="F11" s="5">
        <v>0.84</v>
      </c>
      <c r="G11" s="5" t="inlineStr">
        <is>
          <t xml:space="preserve">A</t>
        </is>
      </c>
      <c r="H11" s="5" t="inlineStr">
        <is>
          <t xml:space="preserve">MEDIUM</t>
        </is>
      </c>
      <c r="I11" s="5" t="inlineStr">
        <is>
          <t xml:space="preserve">industrial_C&amp;I</t>
        </is>
      </c>
      <c r="J11" s="5" t="inlineStr">
        <is>
          <t xml:space="preserve">medium_voltage</t>
        </is>
      </c>
    </row>
    <row r="12">
      <c r="A12" s="5" t="inlineStr">
        <is>
          <t xml:space="preserve">OF-011</t>
        </is>
      </c>
      <c r="B12" s="5" t="inlineStr">
        <is>
          <t xml:space="preserve">Simulated Plastics Offtaker 011</t>
        </is>
      </c>
      <c r="C12" s="5" t="inlineStr">
        <is>
          <t xml:space="preserve">PG-10</t>
        </is>
      </c>
      <c r="D12" s="5" t="inlineStr">
        <is>
          <t xml:space="preserve">Plastics</t>
        </is>
      </c>
      <c r="E12" s="5">
        <v>12000000</v>
      </c>
      <c r="F12" s="5">
        <v>0.86</v>
      </c>
      <c r="G12" s="5" t="inlineStr">
        <is>
          <t xml:space="preserve">B</t>
        </is>
      </c>
      <c r="H12" s="5" t="inlineStr">
        <is>
          <t xml:space="preserve">MEDIUM</t>
        </is>
      </c>
      <c r="I12" s="5" t="inlineStr">
        <is>
          <t xml:space="preserve">industrial_C&amp;I</t>
        </is>
      </c>
      <c r="J12" s="5" t="inlineStr">
        <is>
          <t xml:space="preserve">medium_voltage</t>
        </is>
      </c>
    </row>
    <row r="13">
      <c r="A13" s="5" t="inlineStr">
        <is>
          <t xml:space="preserve">OF-012</t>
        </is>
      </c>
      <c r="B13" s="5" t="inlineStr">
        <is>
          <t xml:space="preserve">Simulated Food &amp; Beverage Offtaker 012</t>
        </is>
      </c>
      <c r="C13" s="5" t="inlineStr">
        <is>
          <t xml:space="preserve">PG-04</t>
        </is>
      </c>
      <c r="D13" s="5" t="inlineStr">
        <is>
          <t xml:space="preserve">Food &amp; Beverage</t>
        </is>
      </c>
      <c r="E13" s="5">
        <v>15000000</v>
      </c>
      <c r="F13" s="5">
        <v>0.8</v>
      </c>
      <c r="G13" s="5" t="inlineStr">
        <is>
          <t xml:space="preserve">B</t>
        </is>
      </c>
      <c r="H13" s="5" t="inlineStr">
        <is>
          <t xml:space="preserve">MEDIUM</t>
        </is>
      </c>
      <c r="I13" s="5" t="inlineStr">
        <is>
          <t xml:space="preserve">industrial_C&amp;I</t>
        </is>
      </c>
      <c r="J13" s="5" t="inlineStr">
        <is>
          <t xml:space="preserve">medium_voltage</t>
        </is>
      </c>
    </row>
    <row r="14">
      <c r="A14" s="5" t="inlineStr">
        <is>
          <t xml:space="preserve">OF-013</t>
        </is>
      </c>
      <c r="B14" s="5" t="inlineStr">
        <is>
          <t xml:space="preserve">Simulated Agribusiness Offtaker 013</t>
        </is>
      </c>
      <c r="C14" s="5" t="inlineStr">
        <is>
          <t xml:space="preserve">PG-11</t>
        </is>
      </c>
      <c r="D14" s="5" t="inlineStr">
        <is>
          <t xml:space="preserve">Agribusiness</t>
        </is>
      </c>
      <c r="E14" s="5">
        <v>13000000</v>
      </c>
      <c r="F14" s="5">
        <v>0.79</v>
      </c>
      <c r="G14" s="5" t="inlineStr">
        <is>
          <t xml:space="preserve">B</t>
        </is>
      </c>
      <c r="H14" s="5" t="inlineStr">
        <is>
          <t xml:space="preserve">MEDIUM</t>
        </is>
      </c>
      <c r="I14" s="5" t="inlineStr">
        <is>
          <t xml:space="preserve">industrial_C&amp;I</t>
        </is>
      </c>
      <c r="J14" s="5" t="inlineStr">
        <is>
          <t xml:space="preserve">medium_voltage</t>
        </is>
      </c>
    </row>
    <row r="15">
      <c r="A15" s="5" t="inlineStr">
        <is>
          <t xml:space="preserve">OF-014</t>
        </is>
      </c>
      <c r="B15" s="5" t="inlineStr">
        <is>
          <t xml:space="preserve">Simulated Chemicals Offtaker 014</t>
        </is>
      </c>
      <c r="C15" s="5" t="inlineStr">
        <is>
          <t xml:space="preserve">PG-12</t>
        </is>
      </c>
      <c r="D15" s="5" t="inlineStr">
        <is>
          <t xml:space="preserve">Chemicals</t>
        </is>
      </c>
      <c r="E15" s="5">
        <v>26000000</v>
      </c>
      <c r="F15" s="5">
        <v>0.77</v>
      </c>
      <c r="G15" s="5" t="inlineStr">
        <is>
          <t xml:space="preserve">A</t>
        </is>
      </c>
      <c r="H15" s="5" t="inlineStr">
        <is>
          <t xml:space="preserve">MEDIUM</t>
        </is>
      </c>
      <c r="I15" s="5" t="inlineStr">
        <is>
          <t xml:space="preserve">industrial_C&amp;I</t>
        </is>
      </c>
      <c r="J15" s="5" t="inlineStr">
        <is>
          <t xml:space="preserve">medium_voltage</t>
        </is>
      </c>
    </row>
    <row r="16">
      <c r="A16" s="5" t="inlineStr">
        <is>
          <t xml:space="preserve">OF-015</t>
        </is>
      </c>
      <c r="B16" s="5" t="inlineStr">
        <is>
          <t xml:space="preserve">Simulated Electronics Offtaker 015</t>
        </is>
      </c>
      <c r="C16" s="5" t="inlineStr">
        <is>
          <t xml:space="preserve">PG-01</t>
        </is>
      </c>
      <c r="D16" s="5" t="inlineStr">
        <is>
          <t xml:space="preserve">Electronics</t>
        </is>
      </c>
      <c r="E16" s="5">
        <v>14500000</v>
      </c>
      <c r="F16" s="5">
        <v>0.78</v>
      </c>
      <c r="G16" s="5" t="inlineStr">
        <is>
          <t xml:space="preserve">B</t>
        </is>
      </c>
      <c r="H16" s="5" t="inlineStr">
        <is>
          <t xml:space="preserve">MEDIUM</t>
        </is>
      </c>
      <c r="I16" s="5" t="inlineStr">
        <is>
          <t xml:space="preserve">industrial_C&amp;I</t>
        </is>
      </c>
      <c r="J16" s="5" t="inlineStr">
        <is>
          <t xml:space="preserve">medium_voltage</t>
        </is>
      </c>
    </row>
    <row r="17">
      <c r="A17" s="5" t="inlineStr">
        <is>
          <t xml:space="preserve">OF-016</t>
        </is>
      </c>
      <c r="B17" s="5" t="inlineStr">
        <is>
          <t xml:space="preserve">Simulated Rubber Offtaker 016</t>
        </is>
      </c>
      <c r="C17" s="5" t="inlineStr">
        <is>
          <t xml:space="preserve">PG-13</t>
        </is>
      </c>
      <c r="D17" s="5" t="inlineStr">
        <is>
          <t xml:space="preserve">Rubber</t>
        </is>
      </c>
      <c r="E17" s="5">
        <v>14000000</v>
      </c>
      <c r="F17" s="5">
        <v>0.74</v>
      </c>
      <c r="G17" s="5" t="inlineStr">
        <is>
          <t xml:space="preserve">B</t>
        </is>
      </c>
      <c r="H17" s="5" t="inlineStr">
        <is>
          <t xml:space="preserve">MEDIUM</t>
        </is>
      </c>
      <c r="I17" s="5" t="inlineStr">
        <is>
          <t xml:space="preserve">industrial_C&amp;I</t>
        </is>
      </c>
      <c r="J17" s="5" t="inlineStr">
        <is>
          <t xml:space="preserve">medium_voltage</t>
        </is>
      </c>
    </row>
    <row r="18">
      <c r="A18" s="5" t="inlineStr">
        <is>
          <t xml:space="preserve">OF-017</t>
        </is>
      </c>
      <c r="B18" s="5" t="inlineStr">
        <is>
          <t xml:space="preserve">Simulated Steel Offtaker 017</t>
        </is>
      </c>
      <c r="C18" s="5" t="inlineStr">
        <is>
          <t xml:space="preserve">PG-14</t>
        </is>
      </c>
      <c r="D18" s="5" t="inlineStr">
        <is>
          <t xml:space="preserve">Steel</t>
        </is>
      </c>
      <c r="E18" s="5">
        <v>23000000</v>
      </c>
      <c r="F18" s="5">
        <v>0.72</v>
      </c>
      <c r="G18" s="5" t="inlineStr">
        <is>
          <t xml:space="preserve">B</t>
        </is>
      </c>
      <c r="H18" s="5" t="inlineStr">
        <is>
          <t xml:space="preserve">MEDIUM</t>
        </is>
      </c>
      <c r="I18" s="5" t="inlineStr">
        <is>
          <t xml:space="preserve">industrial_C&amp;I</t>
        </is>
      </c>
      <c r="J18" s="5" t="inlineStr">
        <is>
          <t xml:space="preserve">medium_voltage</t>
        </is>
      </c>
    </row>
    <row r="19">
      <c r="A19" s="5" t="inlineStr">
        <is>
          <t xml:space="preserve">OF-018</t>
        </is>
      </c>
      <c r="B19" s="5" t="inlineStr">
        <is>
          <t xml:space="preserve">Simulated Machinery Offtaker 018</t>
        </is>
      </c>
      <c r="C19" s="5" t="inlineStr">
        <is>
          <t xml:space="preserve">PG-15</t>
        </is>
      </c>
      <c r="D19" s="5" t="inlineStr">
        <is>
          <t xml:space="preserve">Machinery</t>
        </is>
      </c>
      <c r="E19" s="5">
        <v>15500000</v>
      </c>
      <c r="F19" s="5">
        <v>0.77</v>
      </c>
      <c r="G19" s="5" t="inlineStr">
        <is>
          <t xml:space="preserve">C</t>
        </is>
      </c>
      <c r="H19" s="5" t="inlineStr">
        <is>
          <t xml:space="preserve">MEDIUM</t>
        </is>
      </c>
      <c r="I19" s="5" t="inlineStr">
        <is>
          <t xml:space="preserve">industrial_C&amp;I</t>
        </is>
      </c>
      <c r="J19" s="5" t="inlineStr">
        <is>
          <t xml:space="preserve">medium_voltage</t>
        </is>
      </c>
    </row>
    <row r="20">
      <c r="A20" s="5" t="inlineStr">
        <is>
          <t xml:space="preserve">OF-019</t>
        </is>
      </c>
      <c r="B20" s="5" t="inlineStr">
        <is>
          <t xml:space="preserve">Simulated Retail Offtaker 019</t>
        </is>
      </c>
      <c r="C20" s="5" t="inlineStr">
        <is>
          <t xml:space="preserve">PG-16</t>
        </is>
      </c>
      <c r="D20" s="5" t="inlineStr">
        <is>
          <t xml:space="preserve">Retail</t>
        </is>
      </c>
      <c r="E20" s="5">
        <v>20000000</v>
      </c>
      <c r="F20" s="5">
        <v>0.73</v>
      </c>
      <c r="G20" s="5" t="inlineStr">
        <is>
          <t xml:space="preserve">B</t>
        </is>
      </c>
      <c r="H20" s="5" t="inlineStr">
        <is>
          <t xml:space="preserve">MEDIUM</t>
        </is>
      </c>
      <c r="I20" s="5" t="inlineStr">
        <is>
          <t xml:space="preserve">industrial_C&amp;I</t>
        </is>
      </c>
      <c r="J20" s="5" t="inlineStr">
        <is>
          <t xml:space="preserve">medium_voltage</t>
        </is>
      </c>
    </row>
    <row r="21">
      <c r="A21" s="5" t="inlineStr">
        <is>
          <t xml:space="preserve">OF-020</t>
        </is>
      </c>
      <c r="B21" s="5" t="inlineStr">
        <is>
          <t xml:space="preserve">Simulated Food &amp; Beverage Offtaker 020</t>
        </is>
      </c>
      <c r="C21" s="5" t="inlineStr">
        <is>
          <t xml:space="preserve">PG-17</t>
        </is>
      </c>
      <c r="D21" s="5" t="inlineStr">
        <is>
          <t xml:space="preserve">Food &amp; Beverage</t>
        </is>
      </c>
      <c r="E21" s="5">
        <v>18000000</v>
      </c>
      <c r="F21" s="5">
        <v>0.78</v>
      </c>
      <c r="G21" s="5" t="inlineStr">
        <is>
          <t xml:space="preserve">C</t>
        </is>
      </c>
      <c r="H21" s="5" t="inlineStr">
        <is>
          <t xml:space="preserve">MEDIUM</t>
        </is>
      </c>
      <c r="I21" s="5" t="inlineStr">
        <is>
          <t xml:space="preserve">industrial_C&amp;I</t>
        </is>
      </c>
      <c r="J21" s="5" t="inlineStr">
        <is>
          <t xml:space="preserve">medium_voltage</t>
        </is>
      </c>
    </row>
  </sheetData>
  <autoFilter ref="A1:J21"/>
  <pageMargins left="0.35" right="0.35" top="0.5" bottom="0.5" header="0.2" footer="0.2"/>
</worksheet>
</file>

<file path=xl/worksheets/sheet6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21.60" customWidth="1"/>
    <col min="3" max="3" width="10.00" customWidth="1"/>
    <col min="4" max="4" width="16.20" customWidth="1"/>
    <col min="5" max="5" width="23.40" customWidth="1"/>
    <col min="6" max="6" width="23.40" customWidth="1"/>
    <col min="7" max="7" width="16.20" customWidth="1"/>
    <col min="8" max="8" width="19.80" customWidth="1"/>
    <col min="9" max="9" width="18.90" customWidth="1"/>
    <col min="10" max="10" width="13.50" customWidth="1"/>
    <col min="11" max="11" width="32.30" customWidth="1"/>
    <col min="12" max="12" width="17.10" customWidth="1"/>
    <col min="13" max="13" width="38.00" customWidth="1"/>
    <col min="14" max="14" width="24.00" customWidth="1"/>
    <col min="15" max="15" width="12.60" customWidth="1"/>
    <col min="16" max="16" width="38.00" customWidth="1"/>
    <col min="17" max="17" width="19.8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project_name</t>
        </is>
      </c>
      <c r="C1" s="4" t="inlineStr">
        <is>
          <t xml:space="preserve">p50_y1_kwh</t>
        </is>
      </c>
      <c r="D1" s="4" t="inlineStr">
        <is>
          <t xml:space="preserve">p90_y1_kwh</t>
        </is>
      </c>
      <c r="E1" s="4" t="inlineStr">
        <is>
          <t xml:space="preserve">specific_yield_p50_kwh_kwp</t>
        </is>
      </c>
      <c r="F1" s="4" t="inlineStr">
        <is>
          <t xml:space="preserve">specific_yield_p90_kwh_kwp</t>
        </is>
      </c>
      <c r="G1" s="4" t="inlineStr">
        <is>
          <t xml:space="preserve">p90_p50_ratio</t>
        </is>
      </c>
      <c r="H1" s="4" t="inlineStr">
        <is>
          <t xml:space="preserve">self_consumption_ratio</t>
        </is>
      </c>
      <c r="I1" s="4" t="inlineStr">
        <is>
          <t xml:space="preserve">total_uncertainty_pct</t>
        </is>
      </c>
      <c r="J1" s="4" t="inlineStr">
        <is>
          <t xml:space="preserve">degradation_pct</t>
        </is>
      </c>
      <c r="K1" s="4" t="inlineStr">
        <is>
          <t xml:space="preserve">source_chain</t>
        </is>
      </c>
      <c r="L1" s="4" t="inlineStr">
        <is>
          <t xml:space="preserve">methodology_version</t>
        </is>
      </c>
      <c r="M1" s="4" t="inlineStr">
        <is>
          <t xml:space="preserve">hourly_profile_hash</t>
        </is>
      </c>
      <c r="N1" s="4" t="inlineStr">
        <is>
          <t xml:space="preserve">tariff_version</t>
        </is>
      </c>
      <c r="O1" s="4" t="inlineStr">
        <is>
          <t xml:space="preserve">billing_status</t>
        </is>
      </c>
      <c r="P1" s="4" t="inlineStr">
        <is>
          <t xml:space="preserve">tariff_schedule_hash</t>
        </is>
      </c>
      <c r="Q1" s="4" t="inlineStr">
        <is>
          <t xml:space="preserve">tariff_schedule_status</t>
        </is>
      </c>
    </row>
    <row r="2">
      <c r="A2" s="0" t="inlineStr">
        <is>
          <t xml:space="preserve">VG-001</t>
        </is>
      </c>
      <c r="B2" s="0" t="inlineStr">
        <is>
          <t xml:space="preserve">Northern Electronics One</t>
        </is>
      </c>
      <c r="C2" s="0">
        <v>1848000</v>
      </c>
      <c r="D2" s="0">
        <v>1658528.256</v>
      </c>
      <c r="E2" s="0">
        <v>1320</v>
      </c>
      <c r="F2" s="0">
        <v>1184.6630400000001</v>
      </c>
      <c r="G2" s="13">
        <v>0.897472</v>
      </c>
      <c r="H2" s="11">
        <v>1</v>
      </c>
      <c r="I2" s="11">
        <v>0.08</v>
      </c>
      <c r="J2" s="11">
        <v>0.005</v>
      </c>
      <c r="K2" s="0" t="inlineStr">
        <is>
          <t xml:space="preserve">SRC-SOLAR-GSA &gt; ASM-DEG &gt; PROFILE-8760</t>
        </is>
      </c>
      <c r="L2" s="0" t="inlineStr">
        <is>
          <t xml:space="preserve">ENERGY-1.1-8760</t>
        </is>
      </c>
      <c r="M2" s="0" t="inlineStr">
        <is>
          <t xml:space="preserve">58eef4df18925b50fdb66f7ff10ac0bbc3fe632794de2f2d856668381fe67416</t>
        </is>
      </c>
      <c r="N2" s="0" t="inlineStr">
        <is>
          <t xml:space="preserve">TAR-TOU-963-EFFECTIVE_BILLING_WATCH</t>
        </is>
      </c>
      <c r="O2" s="17" t="inlineStr">
        <is>
          <t xml:space="preserve">WATCH</t>
        </is>
      </c>
      <c r="P2" s="0" t="inlineStr">
        <is>
          <t xml:space="preserve">5ebe78feaf8fe2330ec10d651e064bfa54831d7cc1ede7a74a436cc20bb26358</t>
        </is>
      </c>
      <c r="Q2" s="15" t="inlineStr">
        <is>
          <t xml:space="preserve">PASS</t>
        </is>
      </c>
    </row>
    <row r="3">
      <c r="A3" s="0" t="inlineStr">
        <is>
          <t xml:space="preserve">VG-002</t>
        </is>
      </c>
      <c r="B3" s="0" t="inlineStr">
        <is>
          <t xml:space="preserve">Bac Ninh Precision</t>
        </is>
      </c>
      <c r="C3" s="0">
        <v>1980000</v>
      </c>
      <c r="D3" s="0">
        <v>1802370.24</v>
      </c>
      <c r="E3" s="0">
        <v>1320</v>
      </c>
      <c r="F3" s="0">
        <v>1201.58016</v>
      </c>
      <c r="G3" s="13">
        <v>0.910288</v>
      </c>
      <c r="H3" s="11">
        <v>1.0000000000000002</v>
      </c>
      <c r="I3" s="11">
        <v>0.07</v>
      </c>
      <c r="J3" s="11">
        <v>0.005</v>
      </c>
      <c r="K3" s="0" t="inlineStr">
        <is>
          <t xml:space="preserve">SRC-SOLAR-GSA &gt; ASM-DEG &gt; PROFILE-8760</t>
        </is>
      </c>
      <c r="L3" s="0" t="inlineStr">
        <is>
          <t xml:space="preserve">ENERGY-1.1-8760</t>
        </is>
      </c>
      <c r="M3" s="0" t="inlineStr">
        <is>
          <t xml:space="preserve">e1e91a2cc24ddc53c3dcd3f56181df1fe8e83cddae1cdf4700912e4628752465</t>
        </is>
      </c>
      <c r="N3" s="0" t="inlineStr">
        <is>
          <t xml:space="preserve">TAR-TOU-963-EFFECTIVE_BILLING_WATCH</t>
        </is>
      </c>
      <c r="O3" s="17" t="inlineStr">
        <is>
          <t xml:space="preserve">WATCH</t>
        </is>
      </c>
      <c r="P3" s="0" t="inlineStr">
        <is>
          <t xml:space="preserve">5ebe78feaf8fe2330ec10d651e064bfa54831d7cc1ede7a74a436cc20bb26358</t>
        </is>
      </c>
      <c r="Q3" s="15" t="inlineStr">
        <is>
          <t xml:space="preserve">PASS</t>
        </is>
      </c>
    </row>
    <row r="4">
      <c r="A4" s="0" t="inlineStr">
        <is>
          <t xml:space="preserve">VG-003</t>
        </is>
      </c>
      <c r="B4" s="0" t="inlineStr">
        <is>
          <t xml:space="preserve">Hanoi Cold Chain</t>
        </is>
      </c>
      <c r="C4" s="0">
        <v>1452000</v>
      </c>
      <c r="D4" s="0">
        <v>1303129.344</v>
      </c>
      <c r="E4" s="0">
        <v>1320</v>
      </c>
      <c r="F4" s="0">
        <v>1184.6630400000001</v>
      </c>
      <c r="G4" s="13">
        <v>0.897472</v>
      </c>
      <c r="H4" s="11">
        <v>1</v>
      </c>
      <c r="I4" s="11">
        <v>0.08</v>
      </c>
      <c r="J4" s="11">
        <v>0.005</v>
      </c>
      <c r="K4" s="0" t="inlineStr">
        <is>
          <t xml:space="preserve">SRC-SOLAR-GSA &gt; ASM-DEG &gt; PROFILE-8760</t>
        </is>
      </c>
      <c r="L4" s="0" t="inlineStr">
        <is>
          <t xml:space="preserve">ENERGY-1.1-8760</t>
        </is>
      </c>
      <c r="M4" s="0" t="inlineStr">
        <is>
          <t xml:space="preserve">bb8de511b708ab51403edf1a90743a778c3e43bd453db9e84753d5b8ccf8c7ce</t>
        </is>
      </c>
      <c r="N4" s="0" t="inlineStr">
        <is>
          <t xml:space="preserve">TAR-TOU-963-EFFECTIVE_BILLING_WATCH</t>
        </is>
      </c>
      <c r="O4" s="17" t="inlineStr">
        <is>
          <t xml:space="preserve">WATCH</t>
        </is>
      </c>
      <c r="P4" s="0" t="inlineStr">
        <is>
          <t xml:space="preserve">5ebe78feaf8fe2330ec10d651e064bfa54831d7cc1ede7a74a436cc20bb26358</t>
        </is>
      </c>
      <c r="Q4" s="15" t="inlineStr">
        <is>
          <t xml:space="preserve">PASS</t>
        </is>
      </c>
    </row>
    <row r="5">
      <c r="A5" s="0" t="inlineStr">
        <is>
          <t xml:space="preserve">VG-004</t>
        </is>
      </c>
      <c r="B5" s="0" t="inlineStr">
        <is>
          <t xml:space="preserve">Quang Ninh Cement</t>
        </is>
      </c>
      <c r="C5" s="0">
        <v>1914000</v>
      </c>
      <c r="D5" s="0">
        <v>1693231.584</v>
      </c>
      <c r="E5" s="0">
        <v>1320</v>
      </c>
      <c r="F5" s="0">
        <v>1167.74592</v>
      </c>
      <c r="G5" s="13">
        <v>0.884656</v>
      </c>
      <c r="H5" s="11">
        <v>1</v>
      </c>
      <c r="I5" s="11">
        <v>0.09</v>
      </c>
      <c r="J5" s="11">
        <v>0.005</v>
      </c>
      <c r="K5" s="0" t="inlineStr">
        <is>
          <t xml:space="preserve">SRC-SOLAR-GSA &gt; ASM-DEG &gt; PROFILE-8760</t>
        </is>
      </c>
      <c r="L5" s="0" t="inlineStr">
        <is>
          <t xml:space="preserve">ENERGY-1.1-8760</t>
        </is>
      </c>
      <c r="M5" s="0" t="inlineStr">
        <is>
          <t xml:space="preserve">87935c46479e4d87434a0a247bf5d697fbe5d1bc2b8e9458bda1f4ccac8183e0</t>
        </is>
      </c>
      <c r="N5" s="0" t="inlineStr">
        <is>
          <t xml:space="preserve">TAR-TOU-963-EFFECTIVE_BILLING_WATCH</t>
        </is>
      </c>
      <c r="O5" s="17" t="inlineStr">
        <is>
          <t xml:space="preserve">WATCH</t>
        </is>
      </c>
      <c r="P5" s="0" t="inlineStr">
        <is>
          <t xml:space="preserve">5ebe78feaf8fe2330ec10d651e064bfa54831d7cc1ede7a74a436cc20bb26358</t>
        </is>
      </c>
      <c r="Q5" s="15" t="inlineStr">
        <is>
          <t xml:space="preserve">PASS</t>
        </is>
      </c>
    </row>
    <row r="6">
      <c r="A6" s="0" t="inlineStr">
        <is>
          <t xml:space="preserve">VG-005</t>
        </is>
      </c>
      <c r="B6" s="0" t="inlineStr">
        <is>
          <t xml:space="preserve">Da Nang Food Hub</t>
        </is>
      </c>
      <c r="C6" s="0">
        <v>1776000</v>
      </c>
      <c r="D6" s="0">
        <v>1616671.488</v>
      </c>
      <c r="E6" s="0">
        <v>1480</v>
      </c>
      <c r="F6" s="0">
        <v>1347.22624</v>
      </c>
      <c r="G6" s="13">
        <v>0.910288</v>
      </c>
      <c r="H6" s="11">
        <v>1.0000000000000002</v>
      </c>
      <c r="I6" s="11">
        <v>0.07</v>
      </c>
      <c r="J6" s="11">
        <v>0.005</v>
      </c>
      <c r="K6" s="0" t="inlineStr">
        <is>
          <t xml:space="preserve">SRC-SOLAR-GSA &gt; ASM-DEG &gt; PROFILE-8760</t>
        </is>
      </c>
      <c r="L6" s="0" t="inlineStr">
        <is>
          <t xml:space="preserve">ENERGY-1.1-8760</t>
        </is>
      </c>
      <c r="M6" s="0" t="inlineStr">
        <is>
          <t xml:space="preserve">ea672612e50f44b78eba694cf705a3c4d6318cd43e50c89bdc33e3b038bfdf46</t>
        </is>
      </c>
      <c r="N6" s="0" t="inlineStr">
        <is>
          <t xml:space="preserve">TAR-TOU-963-EFFECTIVE_BILLING_WATCH</t>
        </is>
      </c>
      <c r="O6" s="17" t="inlineStr">
        <is>
          <t xml:space="preserve">WATCH</t>
        </is>
      </c>
      <c r="P6" s="0" t="inlineStr">
        <is>
          <t xml:space="preserve">5ebe78feaf8fe2330ec10d651e064bfa54831d7cc1ede7a74a436cc20bb26358</t>
        </is>
      </c>
      <c r="Q6" s="15" t="inlineStr">
        <is>
          <t xml:space="preserve">PASS</t>
        </is>
      </c>
    </row>
    <row r="7">
      <c r="A7" s="0" t="inlineStr">
        <is>
          <t xml:space="preserve">VG-006</t>
        </is>
      </c>
      <c r="B7" s="0" t="inlineStr">
        <is>
          <t xml:space="preserve">Hue Garments</t>
        </is>
      </c>
      <c r="C7" s="0">
        <v>1776000</v>
      </c>
      <c r="D7" s="0">
        <v>1571149.056</v>
      </c>
      <c r="E7" s="0">
        <v>1480</v>
      </c>
      <c r="F7" s="0">
        <v>1309.29088</v>
      </c>
      <c r="G7" s="13">
        <v>0.8846560000000001</v>
      </c>
      <c r="H7" s="11">
        <v>1.0000000000000002</v>
      </c>
      <c r="I7" s="11">
        <v>0.09</v>
      </c>
      <c r="J7" s="11">
        <v>0.005</v>
      </c>
      <c r="K7" s="0" t="inlineStr">
        <is>
          <t xml:space="preserve">SRC-SOLAR-GSA &gt; ASM-DEG &gt; PROFILE-8760</t>
        </is>
      </c>
      <c r="L7" s="0" t="inlineStr">
        <is>
          <t xml:space="preserve">ENERGY-1.1-8760</t>
        </is>
      </c>
      <c r="M7" s="0" t="inlineStr">
        <is>
          <t xml:space="preserve">daee663b5ed3a49dd8af39ba99207dcc002d2b689e862f1cf8e898561065e161</t>
        </is>
      </c>
      <c r="N7" s="0" t="inlineStr">
        <is>
          <t xml:space="preserve">TAR-TOU-963-EFFECTIVE_BILLING_WATCH</t>
        </is>
      </c>
      <c r="O7" s="17" t="inlineStr">
        <is>
          <t xml:space="preserve">WATCH</t>
        </is>
      </c>
      <c r="P7" s="0" t="inlineStr">
        <is>
          <t xml:space="preserve">5ebe78feaf8fe2330ec10d651e064bfa54831d7cc1ede7a74a436cc20bb26358</t>
        </is>
      </c>
      <c r="Q7" s="15" t="inlineStr">
        <is>
          <t xml:space="preserve">PASS</t>
        </is>
      </c>
    </row>
    <row r="8">
      <c r="A8" s="0" t="inlineStr">
        <is>
          <t xml:space="preserve">VG-007</t>
        </is>
      </c>
      <c r="B8" s="0" t="inlineStr">
        <is>
          <t xml:space="preserve">Quang Ngai Packaging</t>
        </is>
      </c>
      <c r="C8" s="0">
        <v>1924000</v>
      </c>
      <c r="D8" s="0">
        <v>1726736.128</v>
      </c>
      <c r="E8" s="0">
        <v>1480</v>
      </c>
      <c r="F8" s="0">
        <v>1328.25856</v>
      </c>
      <c r="G8" s="13">
        <v>0.897472</v>
      </c>
      <c r="H8" s="11">
        <v>1.0000000000000002</v>
      </c>
      <c r="I8" s="11">
        <v>0.08</v>
      </c>
      <c r="J8" s="11">
        <v>0.005</v>
      </c>
      <c r="K8" s="0" t="inlineStr">
        <is>
          <t xml:space="preserve">SRC-SOLAR-GSA &gt; ASM-DEG &gt; PROFILE-8760</t>
        </is>
      </c>
      <c r="L8" s="0" t="inlineStr">
        <is>
          <t xml:space="preserve">ENERGY-1.1-8760</t>
        </is>
      </c>
      <c r="M8" s="0" t="inlineStr">
        <is>
          <t xml:space="preserve">6ee67da0b1f0782596c153a4694f50db8b9b141ce6f2c5349eb516fc2fc67e98</t>
        </is>
      </c>
      <c r="N8" s="0" t="inlineStr">
        <is>
          <t xml:space="preserve">TAR-TOU-963-EFFECTIVE_BILLING_WATCH</t>
        </is>
      </c>
      <c r="O8" s="17" t="inlineStr">
        <is>
          <t xml:space="preserve">WATCH</t>
        </is>
      </c>
      <c r="P8" s="0" t="inlineStr">
        <is>
          <t xml:space="preserve">5ebe78feaf8fe2330ec10d651e064bfa54831d7cc1ede7a74a436cc20bb26358</t>
        </is>
      </c>
      <c r="Q8" s="15" t="inlineStr">
        <is>
          <t xml:space="preserve">PASS</t>
        </is>
      </c>
    </row>
    <row r="9">
      <c r="A9" s="0" t="inlineStr">
        <is>
          <t xml:space="preserve">VG-008</t>
        </is>
      </c>
      <c r="B9" s="0" t="inlineStr">
        <is>
          <t xml:space="preserve">Nha Trang Hospitality</t>
        </is>
      </c>
      <c r="C9" s="0">
        <v>1846000</v>
      </c>
      <c r="D9" s="0">
        <v>1656733.3120000002</v>
      </c>
      <c r="E9" s="0">
        <v>1420</v>
      </c>
      <c r="F9" s="0">
        <v>1274.4102400000002</v>
      </c>
      <c r="G9" s="13">
        <v>0.897472</v>
      </c>
      <c r="H9" s="11">
        <v>1.0000000000000002</v>
      </c>
      <c r="I9" s="11">
        <v>0.08</v>
      </c>
      <c r="J9" s="11">
        <v>0.005</v>
      </c>
      <c r="K9" s="0" t="inlineStr">
        <is>
          <t xml:space="preserve">SRC-SOLAR-GSA &gt; ASM-DEG &gt; PROFILE-8760</t>
        </is>
      </c>
      <c r="L9" s="0" t="inlineStr">
        <is>
          <t xml:space="preserve">ENERGY-1.1-8760</t>
        </is>
      </c>
      <c r="M9" s="0" t="inlineStr">
        <is>
          <t xml:space="preserve">528fdc8f543beca179aa99d25097f476f91de64f36a580c7574a22e52075e616</t>
        </is>
      </c>
      <c r="N9" s="0" t="inlineStr">
        <is>
          <t xml:space="preserve">TAR-TOU-963-EFFECTIVE_BILLING_WATCH</t>
        </is>
      </c>
      <c r="O9" s="17" t="inlineStr">
        <is>
          <t xml:space="preserve">WATCH</t>
        </is>
      </c>
      <c r="P9" s="0" t="inlineStr">
        <is>
          <t xml:space="preserve">5ebe78feaf8fe2330ec10d651e064bfa54831d7cc1ede7a74a436cc20bb26358</t>
        </is>
      </c>
      <c r="Q9" s="15" t="inlineStr">
        <is>
          <t xml:space="preserve">PASS</t>
        </is>
      </c>
    </row>
    <row r="10">
      <c r="A10" s="0" t="inlineStr">
        <is>
          <t xml:space="preserve">VG-009</t>
        </is>
      </c>
      <c r="B10" s="0" t="inlineStr">
        <is>
          <t xml:space="preserve">Binh Duong Auto Parts</t>
        </is>
      </c>
      <c r="C10" s="0">
        <v>1846000</v>
      </c>
      <c r="D10" s="0">
        <v>1656733.3120000002</v>
      </c>
      <c r="E10" s="0">
        <v>1420</v>
      </c>
      <c r="F10" s="0">
        <v>1274.4102400000002</v>
      </c>
      <c r="G10" s="13">
        <v>0.897472</v>
      </c>
      <c r="H10" s="11">
        <v>1.0000000000000002</v>
      </c>
      <c r="I10" s="11">
        <v>0.08</v>
      </c>
      <c r="J10" s="11">
        <v>0.005</v>
      </c>
      <c r="K10" s="0" t="inlineStr">
        <is>
          <t xml:space="preserve">SRC-SOLAR-GSA &gt; ASM-DEG &gt; PROFILE-8760</t>
        </is>
      </c>
      <c r="L10" s="0" t="inlineStr">
        <is>
          <t xml:space="preserve">ENERGY-1.1-8760</t>
        </is>
      </c>
      <c r="M10" s="0" t="inlineStr">
        <is>
          <t xml:space="preserve">cd9db32c719e05677e041e7763422b74048db7043a9a5affde2d4f466c1327c3</t>
        </is>
      </c>
      <c r="N10" s="0" t="inlineStr">
        <is>
          <t xml:space="preserve">TAR-TOU-963-EFFECTIVE_BILLING_WATCH</t>
        </is>
      </c>
      <c r="O10" s="17" t="inlineStr">
        <is>
          <t xml:space="preserve">WATCH</t>
        </is>
      </c>
      <c r="P10" s="0" t="inlineStr">
        <is>
          <t xml:space="preserve">5ebe78feaf8fe2330ec10d651e064bfa54831d7cc1ede7a74a436cc20bb26358</t>
        </is>
      </c>
      <c r="Q10" s="15" t="inlineStr">
        <is>
          <t xml:space="preserve">PASS</t>
        </is>
      </c>
    </row>
    <row r="11">
      <c r="A11" s="0" t="inlineStr">
        <is>
          <t xml:space="preserve">VG-010</t>
        </is>
      </c>
      <c r="B11" s="0" t="inlineStr">
        <is>
          <t xml:space="preserve">Dong Nai Pharma</t>
        </is>
      </c>
      <c r="C11" s="0">
        <v>1846000</v>
      </c>
      <c r="D11" s="0">
        <v>1680391.648</v>
      </c>
      <c r="E11" s="0">
        <v>1420</v>
      </c>
      <c r="F11" s="0">
        <v>1292.60896</v>
      </c>
      <c r="G11" s="13">
        <v>0.910288</v>
      </c>
      <c r="H11" s="11">
        <v>1.0000000000000002</v>
      </c>
      <c r="I11" s="11">
        <v>0.07</v>
      </c>
      <c r="J11" s="11">
        <v>0.005</v>
      </c>
      <c r="K11" s="0" t="inlineStr">
        <is>
          <t xml:space="preserve">SRC-SOLAR-GSA &gt; ASM-DEG &gt; PROFILE-8760</t>
        </is>
      </c>
      <c r="L11" s="0" t="inlineStr">
        <is>
          <t xml:space="preserve">ENERGY-1.1-8760</t>
        </is>
      </c>
      <c r="M11" s="0" t="inlineStr">
        <is>
          <t xml:space="preserve">7d561778a3a92a14e0baac84141909b61c590b4a7b0ca751527b7b63e03d5c40</t>
        </is>
      </c>
      <c r="N11" s="0" t="inlineStr">
        <is>
          <t xml:space="preserve">TAR-TOU-963-EFFECTIVE_BILLING_WATCH</t>
        </is>
      </c>
      <c r="O11" s="17" t="inlineStr">
        <is>
          <t xml:space="preserve">WATCH</t>
        </is>
      </c>
      <c r="P11" s="0" t="inlineStr">
        <is>
          <t xml:space="preserve">5ebe78feaf8fe2330ec10d651e064bfa54831d7cc1ede7a74a436cc20bb26358</t>
        </is>
      </c>
      <c r="Q11" s="15" t="inlineStr">
        <is>
          <t xml:space="preserve">PASS</t>
        </is>
      </c>
    </row>
    <row r="12">
      <c r="A12" s="0" t="inlineStr">
        <is>
          <t xml:space="preserve">VG-011</t>
        </is>
      </c>
      <c r="B12" s="0" t="inlineStr">
        <is>
          <t xml:space="preserve">Ho Chi Minh Plastics</t>
        </is>
      </c>
      <c r="C12" s="0">
        <v>1704000</v>
      </c>
      <c r="D12" s="0">
        <v>1540211.52</v>
      </c>
      <c r="E12" s="0">
        <v>1420</v>
      </c>
      <c r="F12" s="0">
        <v>1283.5096</v>
      </c>
      <c r="G12" s="13">
        <v>0.90388</v>
      </c>
      <c r="H12" s="11">
        <v>1.0000000000000002</v>
      </c>
      <c r="I12" s="11">
        <v>0.075</v>
      </c>
      <c r="J12" s="11">
        <v>0.005</v>
      </c>
      <c r="K12" s="0" t="inlineStr">
        <is>
          <t xml:space="preserve">SRC-SOLAR-GSA &gt; ASM-DEG &gt; PROFILE-8760</t>
        </is>
      </c>
      <c r="L12" s="0" t="inlineStr">
        <is>
          <t xml:space="preserve">ENERGY-1.1-8760</t>
        </is>
      </c>
      <c r="M12" s="0" t="inlineStr">
        <is>
          <t xml:space="preserve">061ddb52bd6ee3f379935d9a09eb50b953253d9ea1df7b84bb2f1a7777c4bad7</t>
        </is>
      </c>
      <c r="N12" s="0" t="inlineStr">
        <is>
          <t xml:space="preserve">TAR-TOU-963-EFFECTIVE_BILLING_WATCH</t>
        </is>
      </c>
      <c r="O12" s="17" t="inlineStr">
        <is>
          <t xml:space="preserve">WATCH</t>
        </is>
      </c>
      <c r="P12" s="0" t="inlineStr">
        <is>
          <t xml:space="preserve">5ebe78feaf8fe2330ec10d651e064bfa54831d7cc1ede7a74a436cc20bb26358</t>
        </is>
      </c>
      <c r="Q12" s="15" t="inlineStr">
        <is>
          <t xml:space="preserve">PASS</t>
        </is>
      </c>
    </row>
    <row r="13">
      <c r="A13" s="0" t="inlineStr">
        <is>
          <t xml:space="preserve">VG-012</t>
        </is>
      </c>
      <c r="B13" s="0" t="inlineStr">
        <is>
          <t xml:space="preserve">Long An Beverage</t>
        </is>
      </c>
      <c r="C13" s="0">
        <v>1633000</v>
      </c>
      <c r="D13" s="0">
        <v>1465571.776</v>
      </c>
      <c r="E13" s="0">
        <v>1420</v>
      </c>
      <c r="F13" s="0">
        <v>1274.4102400000002</v>
      </c>
      <c r="G13" s="13">
        <v>0.897472</v>
      </c>
      <c r="H13" s="11">
        <v>1</v>
      </c>
      <c r="I13" s="11">
        <v>0.08</v>
      </c>
      <c r="J13" s="11">
        <v>0.005</v>
      </c>
      <c r="K13" s="0" t="inlineStr">
        <is>
          <t xml:space="preserve">SRC-SOLAR-GSA &gt; ASM-DEG &gt; PROFILE-8760</t>
        </is>
      </c>
      <c r="L13" s="0" t="inlineStr">
        <is>
          <t xml:space="preserve">ENERGY-1.1-8760</t>
        </is>
      </c>
      <c r="M13" s="0" t="inlineStr">
        <is>
          <t xml:space="preserve">d7f85aa071fbff1a0a2da730d8310d6044609547b58f05834e92a860c8853bf4</t>
        </is>
      </c>
      <c r="N13" s="0" t="inlineStr">
        <is>
          <t xml:space="preserve">TAR-TOU-963-EFFECTIVE_BILLING_WATCH</t>
        </is>
      </c>
      <c r="O13" s="17" t="inlineStr">
        <is>
          <t xml:space="preserve">WATCH</t>
        </is>
      </c>
      <c r="P13" s="0" t="inlineStr">
        <is>
          <t xml:space="preserve">5ebe78feaf8fe2330ec10d651e064bfa54831d7cc1ede7a74a436cc20bb26358</t>
        </is>
      </c>
      <c r="Q13" s="15" t="inlineStr">
        <is>
          <t xml:space="preserve">PASS</t>
        </is>
      </c>
    </row>
    <row r="14">
      <c r="A14" s="0" t="inlineStr">
        <is>
          <t xml:space="preserve">VG-013</t>
        </is>
      </c>
      <c r="B14" s="0" t="inlineStr">
        <is>
          <t xml:space="preserve">Can Tho Rice Processing</t>
        </is>
      </c>
      <c r="C14" s="0">
        <v>1491000</v>
      </c>
      <c r="D14" s="0">
        <v>1328576.4239999999</v>
      </c>
      <c r="E14" s="0">
        <v>1420</v>
      </c>
      <c r="F14" s="0">
        <v>1265.31088</v>
      </c>
      <c r="G14" s="13">
        <v>0.891064</v>
      </c>
      <c r="H14" s="11">
        <v>1</v>
      </c>
      <c r="I14" s="11">
        <v>0.085</v>
      </c>
      <c r="J14" s="11">
        <v>0.005</v>
      </c>
      <c r="K14" s="0" t="inlineStr">
        <is>
          <t xml:space="preserve">SRC-SOLAR-GSA &gt; ASM-DEG &gt; PROFILE-8760</t>
        </is>
      </c>
      <c r="L14" s="0" t="inlineStr">
        <is>
          <t xml:space="preserve">ENERGY-1.1-8760</t>
        </is>
      </c>
      <c r="M14" s="0" t="inlineStr">
        <is>
          <t xml:space="preserve">67ed35ad63e5a6fd277fa51d140bf1f4a4d9ec36a33d187d77a3ec6391a85078</t>
        </is>
      </c>
      <c r="N14" s="0" t="inlineStr">
        <is>
          <t xml:space="preserve">TAR-TOU-963-EFFECTIVE_BILLING_WATCH</t>
        </is>
      </c>
      <c r="O14" s="17" t="inlineStr">
        <is>
          <t xml:space="preserve">WATCH</t>
        </is>
      </c>
      <c r="P14" s="0" t="inlineStr">
        <is>
          <t xml:space="preserve">5ebe78feaf8fe2330ec10d651e064bfa54831d7cc1ede7a74a436cc20bb26358</t>
        </is>
      </c>
      <c r="Q14" s="15" t="inlineStr">
        <is>
          <t xml:space="preserve">PASS</t>
        </is>
      </c>
    </row>
    <row r="15">
      <c r="A15" s="0" t="inlineStr">
        <is>
          <t xml:space="preserve">VG-014</t>
        </is>
      </c>
      <c r="B15" s="0" t="inlineStr">
        <is>
          <t xml:space="preserve">Vung Tau Chemicals</t>
        </is>
      </c>
      <c r="C15" s="0">
        <v>1775000</v>
      </c>
      <c r="D15" s="0">
        <v>1593012.8</v>
      </c>
      <c r="E15" s="0">
        <v>1420</v>
      </c>
      <c r="F15" s="0">
        <v>1274.41024</v>
      </c>
      <c r="G15" s="13">
        <v>0.897472</v>
      </c>
      <c r="H15" s="11">
        <v>1.0000000000000002</v>
      </c>
      <c r="I15" s="11">
        <v>0.08</v>
      </c>
      <c r="J15" s="11">
        <v>0.005</v>
      </c>
      <c r="K15" s="0" t="inlineStr">
        <is>
          <t xml:space="preserve">SRC-SOLAR-GSA &gt; ASM-DEG &gt; PROFILE-8760</t>
        </is>
      </c>
      <c r="L15" s="0" t="inlineStr">
        <is>
          <t xml:space="preserve">ENERGY-1.1-8760</t>
        </is>
      </c>
      <c r="M15" s="0" t="inlineStr">
        <is>
          <t xml:space="preserve">bad14b14e9137fcef373194b0957dc78e82f28cbfc66bc83355a2a4c43de6a0c</t>
        </is>
      </c>
      <c r="N15" s="0" t="inlineStr">
        <is>
          <t xml:space="preserve">TAR-TOU-963-EFFECTIVE_BILLING_WATCH</t>
        </is>
      </c>
      <c r="O15" s="17" t="inlineStr">
        <is>
          <t xml:space="preserve">WATCH</t>
        </is>
      </c>
      <c r="P15" s="0" t="inlineStr">
        <is>
          <t xml:space="preserve">5ebe78feaf8fe2330ec10d651e064bfa54831d7cc1ede7a74a436cc20bb26358</t>
        </is>
      </c>
      <c r="Q15" s="15" t="inlineStr">
        <is>
          <t xml:space="preserve">PASS</t>
        </is>
      </c>
    </row>
    <row r="16">
      <c r="A16" s="0" t="inlineStr">
        <is>
          <t xml:space="preserve">VG-015</t>
        </is>
      </c>
      <c r="B16" s="0" t="inlineStr">
        <is>
          <t xml:space="preserve">Tay Ninh Components</t>
        </is>
      </c>
      <c r="C16" s="0">
        <v>1704000</v>
      </c>
      <c r="D16" s="0">
        <v>1529292.2880000002</v>
      </c>
      <c r="E16" s="0">
        <v>1420</v>
      </c>
      <c r="F16" s="0">
        <v>1274.4102400000002</v>
      </c>
      <c r="G16" s="13">
        <v>0.897472</v>
      </c>
      <c r="H16" s="11">
        <v>1.0000000000000002</v>
      </c>
      <c r="I16" s="11">
        <v>0.08</v>
      </c>
      <c r="J16" s="11">
        <v>0.005</v>
      </c>
      <c r="K16" s="0" t="inlineStr">
        <is>
          <t xml:space="preserve">SRC-SOLAR-GSA &gt; ASM-DEG &gt; PROFILE-8760</t>
        </is>
      </c>
      <c r="L16" s="0" t="inlineStr">
        <is>
          <t xml:space="preserve">ENERGY-1.1-8760</t>
        </is>
      </c>
      <c r="M16" s="0" t="inlineStr">
        <is>
          <t xml:space="preserve">2f2ee2ef6f1d911cee0ac62602383d148bf1fc94dc1a3d8819707ce05b7c0686</t>
        </is>
      </c>
      <c r="N16" s="0" t="inlineStr">
        <is>
          <t xml:space="preserve">TAR-TOU-963-EFFECTIVE_BILLING_WATCH</t>
        </is>
      </c>
      <c r="O16" s="17" t="inlineStr">
        <is>
          <t xml:space="preserve">WATCH</t>
        </is>
      </c>
      <c r="P16" s="0" t="inlineStr">
        <is>
          <t xml:space="preserve">5ebe78feaf8fe2330ec10d651e064bfa54831d7cc1ede7a74a436cc20bb26358</t>
        </is>
      </c>
      <c r="Q16" s="15" t="inlineStr">
        <is>
          <t xml:space="preserve">PASS</t>
        </is>
      </c>
    </row>
    <row r="17">
      <c r="A17" s="0" t="inlineStr">
        <is>
          <t xml:space="preserve">VG-016</t>
        </is>
      </c>
      <c r="B17" s="0" t="inlineStr">
        <is>
          <t xml:space="preserve">Binh Phuoc Rubber</t>
        </is>
      </c>
      <c r="C17" s="0">
        <v>1420000</v>
      </c>
      <c r="D17" s="0">
        <v>1256211.52</v>
      </c>
      <c r="E17" s="0">
        <v>1420</v>
      </c>
      <c r="F17" s="0">
        <v>1256.21152</v>
      </c>
      <c r="G17" s="13">
        <v>0.884656</v>
      </c>
      <c r="H17" s="11">
        <v>1</v>
      </c>
      <c r="I17" s="11">
        <v>0.09</v>
      </c>
      <c r="J17" s="11">
        <v>0.005</v>
      </c>
      <c r="K17" s="0" t="inlineStr">
        <is>
          <t xml:space="preserve">SRC-SOLAR-GSA &gt; ASM-DEG &gt; PROFILE-8760</t>
        </is>
      </c>
      <c r="L17" s="0" t="inlineStr">
        <is>
          <t xml:space="preserve">ENERGY-1.1-8760</t>
        </is>
      </c>
      <c r="M17" s="0" t="inlineStr">
        <is>
          <t xml:space="preserve">8b6d80b3441b164efd5f1d6a86f2f7b034055f5fe29aaf4408ccfad178023f20</t>
        </is>
      </c>
      <c r="N17" s="0" t="inlineStr">
        <is>
          <t xml:space="preserve">TAR-TOU-963-EFFECTIVE_BILLING_WATCH</t>
        </is>
      </c>
      <c r="O17" s="17" t="inlineStr">
        <is>
          <t xml:space="preserve">WATCH</t>
        </is>
      </c>
      <c r="P17" s="0" t="inlineStr">
        <is>
          <t xml:space="preserve">5ebe78feaf8fe2330ec10d651e064bfa54831d7cc1ede7a74a436cc20bb26358</t>
        </is>
      </c>
      <c r="Q17" s="15" t="inlineStr">
        <is>
          <t xml:space="preserve">PASS</t>
        </is>
      </c>
    </row>
    <row r="18">
      <c r="A18" s="0" t="inlineStr">
        <is>
          <t xml:space="preserve">VG-017</t>
        </is>
      </c>
      <c r="B18" s="0" t="inlineStr">
        <is>
          <t xml:space="preserve">Hai Duong Steel</t>
        </is>
      </c>
      <c r="C18" s="0">
        <v>1584000</v>
      </c>
      <c r="D18" s="0">
        <v>1401295.104</v>
      </c>
      <c r="E18" s="0">
        <v>1320</v>
      </c>
      <c r="F18" s="0">
        <v>1167.74592</v>
      </c>
      <c r="G18" s="13">
        <v>0.884656</v>
      </c>
      <c r="H18" s="11">
        <v>1</v>
      </c>
      <c r="I18" s="11">
        <v>0.09</v>
      </c>
      <c r="J18" s="11">
        <v>0.005</v>
      </c>
      <c r="K18" s="0" t="inlineStr">
        <is>
          <t xml:space="preserve">SRC-SOLAR-GSA &gt; ASM-DEG &gt; PROFILE-8760</t>
        </is>
      </c>
      <c r="L18" s="0" t="inlineStr">
        <is>
          <t xml:space="preserve">ENERGY-1.1-8760</t>
        </is>
      </c>
      <c r="M18" s="0" t="inlineStr">
        <is>
          <t xml:space="preserve">9ff6b68d6b82f5047acb4f9d0025259c220950f408669958d3278ab02267a102</t>
        </is>
      </c>
      <c r="N18" s="0" t="inlineStr">
        <is>
          <t xml:space="preserve">TAR-TOU-963-EFFECTIVE_BILLING_WATCH</t>
        </is>
      </c>
      <c r="O18" s="17" t="inlineStr">
        <is>
          <t xml:space="preserve">WATCH</t>
        </is>
      </c>
      <c r="P18" s="0" t="inlineStr">
        <is>
          <t xml:space="preserve">5ebe78feaf8fe2330ec10d651e064bfa54831d7cc1ede7a74a436cc20bb26358</t>
        </is>
      </c>
      <c r="Q18" s="15" t="inlineStr">
        <is>
          <t xml:space="preserve">PASS</t>
        </is>
      </c>
    </row>
    <row r="19">
      <c r="A19" s="0" t="inlineStr">
        <is>
          <t xml:space="preserve">VG-018</t>
        </is>
      </c>
      <c r="B19" s="0" t="inlineStr">
        <is>
          <t xml:space="preserve">Thai Nguyen Machinery</t>
        </is>
      </c>
      <c r="C19" s="0">
        <v>1518000</v>
      </c>
      <c r="D19" s="0">
        <v>1362362.496</v>
      </c>
      <c r="E19" s="0">
        <v>1320</v>
      </c>
      <c r="F19" s="0">
        <v>1184.6630400000001</v>
      </c>
      <c r="G19" s="13">
        <v>0.897472</v>
      </c>
      <c r="H19" s="11">
        <v>1</v>
      </c>
      <c r="I19" s="11">
        <v>0.08</v>
      </c>
      <c r="J19" s="11">
        <v>0.005</v>
      </c>
      <c r="K19" s="0" t="inlineStr">
        <is>
          <t xml:space="preserve">SRC-SOLAR-GSA &gt; ASM-DEG &gt; PROFILE-8760</t>
        </is>
      </c>
      <c r="L19" s="0" t="inlineStr">
        <is>
          <t xml:space="preserve">ENERGY-1.1-8760</t>
        </is>
      </c>
      <c r="M19" s="0" t="inlineStr">
        <is>
          <t xml:space="preserve">2958f8cdc19dc8a90e20ebab21c5d2d9bfa388241afac20412971ab25deff7b1</t>
        </is>
      </c>
      <c r="N19" s="0" t="inlineStr">
        <is>
          <t xml:space="preserve">TAR-TOU-963-EFFECTIVE_BILLING_WATCH</t>
        </is>
      </c>
      <c r="O19" s="17" t="inlineStr">
        <is>
          <t xml:space="preserve">WATCH</t>
        </is>
      </c>
      <c r="P19" s="0" t="inlineStr">
        <is>
          <t xml:space="preserve">5ebe78feaf8fe2330ec10d651e064bfa54831d7cc1ede7a74a436cc20bb26358</t>
        </is>
      </c>
      <c r="Q19" s="15" t="inlineStr">
        <is>
          <t xml:space="preserve">PASS</t>
        </is>
      </c>
    </row>
    <row r="20">
      <c r="A20" s="0" t="inlineStr">
        <is>
          <t xml:space="preserve">VG-019</t>
        </is>
      </c>
      <c r="B20" s="0" t="inlineStr">
        <is>
          <t xml:space="preserve">Hanoi Retail DC</t>
        </is>
      </c>
      <c r="C20" s="0">
        <v>1386000</v>
      </c>
      <c r="D20" s="0">
        <v>1208370.24</v>
      </c>
      <c r="E20" s="0">
        <v>1320</v>
      </c>
      <c r="F20" s="0">
        <v>1150.8288</v>
      </c>
      <c r="G20" s="13">
        <v>0.87184</v>
      </c>
      <c r="H20" s="11">
        <v>1</v>
      </c>
      <c r="I20" s="11">
        <v>0.1</v>
      </c>
      <c r="J20" s="11">
        <v>0.005</v>
      </c>
      <c r="K20" s="0" t="inlineStr">
        <is>
          <t xml:space="preserve">SRC-SOLAR-GSA &gt; ASM-DEG &gt; PROFILE-8760</t>
        </is>
      </c>
      <c r="L20" s="0" t="inlineStr">
        <is>
          <t xml:space="preserve">ENERGY-1.1-8760</t>
        </is>
      </c>
      <c r="M20" s="0" t="inlineStr">
        <is>
          <t xml:space="preserve">8142e5027de4226413bff5906ec8314a08ab3cb6ba98e83a447f30c7e054d03f</t>
        </is>
      </c>
      <c r="N20" s="0" t="inlineStr">
        <is>
          <t xml:space="preserve">TAR-TOU-963-EFFECTIVE_BILLING_WATCH</t>
        </is>
      </c>
      <c r="O20" s="17" t="inlineStr">
        <is>
          <t xml:space="preserve">WATCH</t>
        </is>
      </c>
      <c r="P20" s="0" t="inlineStr">
        <is>
          <t xml:space="preserve">5ebe78feaf8fe2330ec10d651e064bfa54831d7cc1ede7a74a436cc20bb26358</t>
        </is>
      </c>
      <c r="Q20" s="15" t="inlineStr">
        <is>
          <t xml:space="preserve">PASS</t>
        </is>
      </c>
    </row>
    <row r="21">
      <c r="A21" s="0" t="inlineStr">
        <is>
          <t xml:space="preserve">VG-020</t>
        </is>
      </c>
      <c r="B21" s="0" t="inlineStr">
        <is>
          <t xml:space="preserve">Soc Trang Seafood</t>
        </is>
      </c>
      <c r="C21" s="0">
        <v>1491000</v>
      </c>
      <c r="D21" s="0">
        <v>1319022.096</v>
      </c>
      <c r="E21" s="0">
        <v>1420</v>
      </c>
      <c r="F21" s="0">
        <v>1256.2115199999998</v>
      </c>
      <c r="G21" s="13">
        <v>0.8846559999999999</v>
      </c>
      <c r="H21" s="11">
        <v>1</v>
      </c>
      <c r="I21" s="11">
        <v>0.09</v>
      </c>
      <c r="J21" s="11">
        <v>0.005</v>
      </c>
      <c r="K21" s="0" t="inlineStr">
        <is>
          <t xml:space="preserve">SRC-SOLAR-GSA &gt; ASM-DEG &gt; PROFILE-8760</t>
        </is>
      </c>
      <c r="L21" s="0" t="inlineStr">
        <is>
          <t xml:space="preserve">ENERGY-1.1-8760</t>
        </is>
      </c>
      <c r="M21" s="0" t="inlineStr">
        <is>
          <t xml:space="preserve">e8e8d48e1da77dda531e92c304ce01b59d973f6866fb926afc81c813b38ccb0f</t>
        </is>
      </c>
      <c r="N21" s="0" t="inlineStr">
        <is>
          <t xml:space="preserve">TAR-TOU-963-EFFECTIVE_BILLING_WATCH</t>
        </is>
      </c>
      <c r="O21" s="17" t="inlineStr">
        <is>
          <t xml:space="preserve">WATCH</t>
        </is>
      </c>
      <c r="P21" s="0" t="inlineStr">
        <is>
          <t xml:space="preserve">5ebe78feaf8fe2330ec10d651e064bfa54831d7cc1ede7a74a436cc20bb26358</t>
        </is>
      </c>
      <c r="Q21" s="15" t="inlineStr">
        <is>
          <t xml:space="preserve">PASS</t>
        </is>
      </c>
    </row>
  </sheetData>
  <autoFilter ref="A1:Q21"/>
  <pageMargins left="0.35" right="0.35" top="0.5" bottom="0.5" header="0.2" footer="0.2"/>
</worksheet>
</file>

<file path=xl/worksheets/sheet7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0.00" customWidth="1"/>
    <col min="3" max="3" width="13.50" customWidth="1"/>
    <col min="4" max="4" width="16.20" customWidth="1"/>
    <col min="5" max="5" width="18.00" customWidth="1"/>
    <col min="6" max="6" width="10.00" customWidth="1"/>
    <col min="7" max="7" width="19.80" customWidth="1"/>
    <col min="8" max="8" width="17.10" customWidth="1"/>
    <col min="9" max="9" width="18.90" customWidth="1"/>
    <col min="10" max="10" width="24.00" customWidth="1"/>
    <col min="11" max="11" width="14.40" customWidth="1"/>
    <col min="12" max="12" width="38.00" customWidth="1"/>
    <col min="13" max="13" width="21.60" customWidth="1"/>
    <col min="14" max="14" width="14.40" customWidth="1"/>
    <col min="15" max="15" width="16.20" customWidth="1"/>
    <col min="16" max="16" width="13.50" customWidth="1"/>
    <col min="17" max="17" width="24.00" customWidth="1"/>
    <col min="18" max="18" width="38.00" customWidth="1"/>
    <col min="19" max="19" width="19.80" customWidth="1"/>
    <col min="20" max="20" width="23.4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scope</t>
        </is>
      </c>
      <c r="C1" s="4" t="inlineStr">
        <is>
          <t xml:space="preserve">annual_load_kwh</t>
        </is>
      </c>
      <c r="D1" s="4" t="inlineStr">
        <is>
          <t xml:space="preserve">solar_kwh_p50</t>
        </is>
      </c>
      <c r="E1" s="4" t="inlineStr">
        <is>
          <t xml:space="preserve">self_consumption_kwh</t>
        </is>
      </c>
      <c r="F1" s="4" t="inlineStr">
        <is>
          <t xml:space="preserve">excess_kwh</t>
        </is>
      </c>
      <c r="G1" s="4" t="inlineStr">
        <is>
          <t xml:space="preserve">self_consumption_ratio</t>
        </is>
      </c>
      <c r="H1" s="4" t="inlineStr">
        <is>
          <t xml:space="preserve">solar_share_of_load</t>
        </is>
      </c>
      <c r="I1" s="4" t="inlineStr">
        <is>
          <t xml:space="preserve">avoided_grid_cost_vnd</t>
        </is>
      </c>
      <c r="J1" s="4" t="inlineStr">
        <is>
          <t xml:space="preserve">weighted_avoided_tariff_vnd_kwh</t>
        </is>
      </c>
      <c r="K1" s="4" t="inlineStr">
        <is>
          <t xml:space="preserve">aggregation_bias</t>
        </is>
      </c>
      <c r="L1" s="4" t="inlineStr">
        <is>
          <t xml:space="preserve">hourly_profile_hash</t>
        </is>
      </c>
      <c r="M1" s="4" t="inlineStr">
        <is>
          <t xml:space="preserve">pvout_double_count_check</t>
        </is>
      </c>
      <c r="N1" s="4" t="inlineStr">
        <is>
          <t xml:space="preserve">legal_peak_hours</t>
        </is>
      </c>
      <c r="O1" s="4" t="inlineStr">
        <is>
          <t xml:space="preserve">legal_normal_hours</t>
        </is>
      </c>
      <c r="P1" s="4" t="inlineStr">
        <is>
          <t xml:space="preserve">legal_low_hours</t>
        </is>
      </c>
      <c r="Q1" s="4" t="inlineStr">
        <is>
          <t xml:space="preserve">current_billed_peak_reference_hours</t>
        </is>
      </c>
      <c r="R1" s="4" t="inlineStr">
        <is>
          <t xml:space="preserve">tariff_schedule_hash</t>
        </is>
      </c>
      <c r="S1" s="4" t="inlineStr">
        <is>
          <t xml:space="preserve">tariff_schedule_status</t>
        </is>
      </c>
      <c r="T1" s="4" t="inlineStr">
        <is>
          <t xml:space="preserve">billing_rate_status</t>
        </is>
      </c>
    </row>
    <row r="2">
      <c r="A2" s="0" t="inlineStr">
        <is>
          <t xml:space="preserve">VG-001</t>
        </is>
      </c>
      <c r="B2" s="0" t="inlineStr">
        <is>
          <t xml:space="preserve">final_8760</t>
        </is>
      </c>
      <c r="C2" s="0">
        <v>15000000</v>
      </c>
      <c r="D2" s="0">
        <v>1848000</v>
      </c>
      <c r="E2" s="0">
        <v>1848000</v>
      </c>
      <c r="F2" s="0">
        <v>0</v>
      </c>
      <c r="G2" s="11">
        <v>1</v>
      </c>
      <c r="H2" s="11">
        <v>0.1232</v>
      </c>
      <c r="I2" s="9">
        <v>5267894844.124187</v>
      </c>
      <c r="J2" s="9">
        <v>2850.592448119149</v>
      </c>
      <c r="K2" s="0">
        <v>0.012</v>
      </c>
      <c r="L2" s="0" t="inlineStr">
        <is>
          <t xml:space="preserve">58eef4df18925b50fdb66f7ff10ac0bbc3fe632794de2f2d856668381fe67416</t>
        </is>
      </c>
      <c r="M2" s="15" t="inlineStr">
        <is>
          <t xml:space="preserve">PASS</t>
        </is>
      </c>
      <c r="N2" s="23">
        <v>1565</v>
      </c>
      <c r="O2" s="23">
        <v>5005</v>
      </c>
      <c r="P2" s="23">
        <v>2190</v>
      </c>
      <c r="Q2" s="23">
        <v>1565</v>
      </c>
      <c r="R2" s="0" t="inlineStr">
        <is>
          <t xml:space="preserve">5ebe78feaf8fe2330ec10d651e064bfa54831d7cc1ede7a74a436cc20bb26358</t>
        </is>
      </c>
      <c r="S2" s="15" t="inlineStr">
        <is>
          <t xml:space="preserve">PASS</t>
        </is>
      </c>
      <c r="T2" s="0" t="inlineStr">
        <is>
          <t xml:space="preserve">SIMULATED_MODEL_INPUT_ONLY</t>
        </is>
      </c>
    </row>
    <row r="3">
      <c r="A3" s="0" t="inlineStr">
        <is>
          <t xml:space="preserve">VG-002</t>
        </is>
      </c>
      <c r="B3" s="0" t="inlineStr">
        <is>
          <t xml:space="preserve">final_8760</t>
        </is>
      </c>
      <c r="C3" s="0">
        <v>17000000</v>
      </c>
      <c r="D3" s="0">
        <v>1980000.0000000002</v>
      </c>
      <c r="E3" s="0">
        <v>1980000.0000000002</v>
      </c>
      <c r="F3" s="0">
        <v>0</v>
      </c>
      <c r="G3" s="11">
        <v>1</v>
      </c>
      <c r="H3" s="11">
        <v>0.11647058823529413</v>
      </c>
      <c r="I3" s="9">
        <v>5644173047.275916</v>
      </c>
      <c r="J3" s="9">
        <v>2850.592448119149</v>
      </c>
      <c r="K3" s="0">
        <v>0.012</v>
      </c>
      <c r="L3" s="0" t="inlineStr">
        <is>
          <t xml:space="preserve">e1e91a2cc24ddc53c3dcd3f56181df1fe8e83cddae1cdf4700912e4628752465</t>
        </is>
      </c>
      <c r="M3" s="15" t="inlineStr">
        <is>
          <t xml:space="preserve">PASS</t>
        </is>
      </c>
      <c r="N3" s="23">
        <v>1565</v>
      </c>
      <c r="O3" s="23">
        <v>5005</v>
      </c>
      <c r="P3" s="23">
        <v>2190</v>
      </c>
      <c r="Q3" s="23">
        <v>1565</v>
      </c>
      <c r="R3" s="0" t="inlineStr">
        <is>
          <t xml:space="preserve">5ebe78feaf8fe2330ec10d651e064bfa54831d7cc1ede7a74a436cc20bb26358</t>
        </is>
      </c>
      <c r="S3" s="15" t="inlineStr">
        <is>
          <t xml:space="preserve">PASS</t>
        </is>
      </c>
      <c r="T3" s="0" t="inlineStr">
        <is>
          <t xml:space="preserve">SIMULATED_MODEL_INPUT_ONLY</t>
        </is>
      </c>
    </row>
    <row r="4">
      <c r="A4" s="0" t="inlineStr">
        <is>
          <t xml:space="preserve">VG-003</t>
        </is>
      </c>
      <c r="B4" s="0" t="inlineStr">
        <is>
          <t xml:space="preserve">final_8760</t>
        </is>
      </c>
      <c r="C4" s="0">
        <v>19000000</v>
      </c>
      <c r="D4" s="0">
        <v>1452000</v>
      </c>
      <c r="E4" s="0">
        <v>1452000</v>
      </c>
      <c r="F4" s="0">
        <v>0</v>
      </c>
      <c r="G4" s="11">
        <v>1</v>
      </c>
      <c r="H4" s="11">
        <v>0.07642105263157895</v>
      </c>
      <c r="I4" s="9">
        <v>4139060234.6690044</v>
      </c>
      <c r="J4" s="9">
        <v>2850.592448119149</v>
      </c>
      <c r="K4" s="0">
        <v>0.012</v>
      </c>
      <c r="L4" s="0" t="inlineStr">
        <is>
          <t xml:space="preserve">bb8de511b708ab51403edf1a90743a778c3e43bd453db9e84753d5b8ccf8c7ce</t>
        </is>
      </c>
      <c r="M4" s="15" t="inlineStr">
        <is>
          <t xml:space="preserve">PASS</t>
        </is>
      </c>
      <c r="N4" s="23">
        <v>1565</v>
      </c>
      <c r="O4" s="23">
        <v>5005</v>
      </c>
      <c r="P4" s="23">
        <v>2190</v>
      </c>
      <c r="Q4" s="23">
        <v>1565</v>
      </c>
      <c r="R4" s="0" t="inlineStr">
        <is>
          <t xml:space="preserve">5ebe78feaf8fe2330ec10d651e064bfa54831d7cc1ede7a74a436cc20bb26358</t>
        </is>
      </c>
      <c r="S4" s="15" t="inlineStr">
        <is>
          <t xml:space="preserve">PASS</t>
        </is>
      </c>
      <c r="T4" s="0" t="inlineStr">
        <is>
          <t xml:space="preserve">SIMULATED_MODEL_INPUT_ONLY</t>
        </is>
      </c>
    </row>
    <row r="5">
      <c r="A5" s="0" t="inlineStr">
        <is>
          <t xml:space="preserve">VG-004</t>
        </is>
      </c>
      <c r="B5" s="0" t="inlineStr">
        <is>
          <t xml:space="preserve">final_8760</t>
        </is>
      </c>
      <c r="C5" s="0">
        <v>30000000</v>
      </c>
      <c r="D5" s="0">
        <v>1914000</v>
      </c>
      <c r="E5" s="0">
        <v>1914000</v>
      </c>
      <c r="F5" s="0">
        <v>0</v>
      </c>
      <c r="G5" s="11">
        <v>1</v>
      </c>
      <c r="H5" s="11">
        <v>0.0638</v>
      </c>
      <c r="I5" s="9">
        <v>5456033945.700051</v>
      </c>
      <c r="J5" s="9">
        <v>2850.592448119149</v>
      </c>
      <c r="K5" s="0">
        <v>0.012</v>
      </c>
      <c r="L5" s="0" t="inlineStr">
        <is>
          <t xml:space="preserve">87935c46479e4d87434a0a247bf5d697fbe5d1bc2b8e9458bda1f4ccac8183e0</t>
        </is>
      </c>
      <c r="M5" s="15" t="inlineStr">
        <is>
          <t xml:space="preserve">PASS</t>
        </is>
      </c>
      <c r="N5" s="23">
        <v>1565</v>
      </c>
      <c r="O5" s="23">
        <v>5005</v>
      </c>
      <c r="P5" s="23">
        <v>2190</v>
      </c>
      <c r="Q5" s="23">
        <v>1565</v>
      </c>
      <c r="R5" s="0" t="inlineStr">
        <is>
          <t xml:space="preserve">5ebe78feaf8fe2330ec10d651e064bfa54831d7cc1ede7a74a436cc20bb26358</t>
        </is>
      </c>
      <c r="S5" s="15" t="inlineStr">
        <is>
          <t xml:space="preserve">PASS</t>
        </is>
      </c>
      <c r="T5" s="0" t="inlineStr">
        <is>
          <t xml:space="preserve">SIMULATED_MODEL_INPUT_ONLY</t>
        </is>
      </c>
    </row>
    <row r="6">
      <c r="A6" s="0" t="inlineStr">
        <is>
          <t xml:space="preserve">VG-005</t>
        </is>
      </c>
      <c r="B6" s="0" t="inlineStr">
        <is>
          <t xml:space="preserve">final_8760</t>
        </is>
      </c>
      <c r="C6" s="0">
        <v>16000000</v>
      </c>
      <c r="D6" s="0">
        <v>1776000.0000000002</v>
      </c>
      <c r="E6" s="0">
        <v>1776000.0000000002</v>
      </c>
      <c r="F6" s="0">
        <v>0</v>
      </c>
      <c r="G6" s="11">
        <v>1</v>
      </c>
      <c r="H6" s="11">
        <v>0.11100000000000002</v>
      </c>
      <c r="I6" s="9">
        <v>5062652187.859609</v>
      </c>
      <c r="J6" s="9">
        <v>2850.5924481191487</v>
      </c>
      <c r="K6" s="0">
        <v>0.012</v>
      </c>
      <c r="L6" s="0" t="inlineStr">
        <is>
          <t xml:space="preserve">ea672612e50f44b78eba694cf705a3c4d6318cd43e50c89bdc33e3b038bfdf46</t>
        </is>
      </c>
      <c r="M6" s="15" t="inlineStr">
        <is>
          <t xml:space="preserve">PASS</t>
        </is>
      </c>
      <c r="N6" s="23">
        <v>1565</v>
      </c>
      <c r="O6" s="23">
        <v>5005</v>
      </c>
      <c r="P6" s="23">
        <v>2190</v>
      </c>
      <c r="Q6" s="23">
        <v>1565</v>
      </c>
      <c r="R6" s="0" t="inlineStr">
        <is>
          <t xml:space="preserve">5ebe78feaf8fe2330ec10d651e064bfa54831d7cc1ede7a74a436cc20bb26358</t>
        </is>
      </c>
      <c r="S6" s="15" t="inlineStr">
        <is>
          <t xml:space="preserve">PASS</t>
        </is>
      </c>
      <c r="T6" s="0" t="inlineStr">
        <is>
          <t xml:space="preserve">SIMULATED_MODEL_INPUT_ONLY</t>
        </is>
      </c>
    </row>
    <row r="7">
      <c r="A7" s="0" t="inlineStr">
        <is>
          <t xml:space="preserve">VG-006</t>
        </is>
      </c>
      <c r="B7" s="0" t="inlineStr">
        <is>
          <t xml:space="preserve">final_8760</t>
        </is>
      </c>
      <c r="C7" s="0">
        <v>25000000</v>
      </c>
      <c r="D7" s="0">
        <v>1776000.0000000002</v>
      </c>
      <c r="E7" s="0">
        <v>1776000.0000000002</v>
      </c>
      <c r="F7" s="0">
        <v>0</v>
      </c>
      <c r="G7" s="11">
        <v>1</v>
      </c>
      <c r="H7" s="11">
        <v>0.07104</v>
      </c>
      <c r="I7" s="9">
        <v>5062652187.859609</v>
      </c>
      <c r="J7" s="9">
        <v>2850.5924481191487</v>
      </c>
      <c r="K7" s="0">
        <v>0.012</v>
      </c>
      <c r="L7" s="0" t="inlineStr">
        <is>
          <t xml:space="preserve">daee663b5ed3a49dd8af39ba99207dcc002d2b689e862f1cf8e898561065e161</t>
        </is>
      </c>
      <c r="M7" s="15" t="inlineStr">
        <is>
          <t xml:space="preserve">PASS</t>
        </is>
      </c>
      <c r="N7" s="23">
        <v>1565</v>
      </c>
      <c r="O7" s="23">
        <v>5005</v>
      </c>
      <c r="P7" s="23">
        <v>2190</v>
      </c>
      <c r="Q7" s="23">
        <v>1565</v>
      </c>
      <c r="R7" s="0" t="inlineStr">
        <is>
          <t xml:space="preserve">5ebe78feaf8fe2330ec10d651e064bfa54831d7cc1ede7a74a436cc20bb26358</t>
        </is>
      </c>
      <c r="S7" s="15" t="inlineStr">
        <is>
          <t xml:space="preserve">PASS</t>
        </is>
      </c>
      <c r="T7" s="0" t="inlineStr">
        <is>
          <t xml:space="preserve">SIMULATED_MODEL_INPUT_ONLY</t>
        </is>
      </c>
    </row>
    <row r="8">
      <c r="A8" s="0" t="inlineStr">
        <is>
          <t xml:space="preserve">VG-007</t>
        </is>
      </c>
      <c r="B8" s="0" t="inlineStr">
        <is>
          <t xml:space="preserve">final_8760</t>
        </is>
      </c>
      <c r="C8" s="0">
        <v>18000000</v>
      </c>
      <c r="D8" s="0">
        <v>1924000.0000000002</v>
      </c>
      <c r="E8" s="0">
        <v>1924000.0000000002</v>
      </c>
      <c r="F8" s="0">
        <v>0</v>
      </c>
      <c r="G8" s="11">
        <v>1</v>
      </c>
      <c r="H8" s="11">
        <v>0.10688888888888891</v>
      </c>
      <c r="I8" s="9">
        <v>5484539870.181243</v>
      </c>
      <c r="J8" s="9">
        <v>2850.5924481191487</v>
      </c>
      <c r="K8" s="0">
        <v>0.012</v>
      </c>
      <c r="L8" s="0" t="inlineStr">
        <is>
          <t xml:space="preserve">6ee67da0b1f0782596c153a4694f50db8b9b141ce6f2c5349eb516fc2fc67e98</t>
        </is>
      </c>
      <c r="M8" s="15" t="inlineStr">
        <is>
          <t xml:space="preserve">PASS</t>
        </is>
      </c>
      <c r="N8" s="23">
        <v>1565</v>
      </c>
      <c r="O8" s="23">
        <v>5005</v>
      </c>
      <c r="P8" s="23">
        <v>2190</v>
      </c>
      <c r="Q8" s="23">
        <v>1565</v>
      </c>
      <c r="R8" s="0" t="inlineStr">
        <is>
          <t xml:space="preserve">5ebe78feaf8fe2330ec10d651e064bfa54831d7cc1ede7a74a436cc20bb26358</t>
        </is>
      </c>
      <c r="S8" s="15" t="inlineStr">
        <is>
          <t xml:space="preserve">PASS</t>
        </is>
      </c>
      <c r="T8" s="0" t="inlineStr">
        <is>
          <t xml:space="preserve">SIMULATED_MODEL_INPUT_ONLY</t>
        </is>
      </c>
    </row>
    <row r="9">
      <c r="A9" s="0" t="inlineStr">
        <is>
          <t xml:space="preserve">VG-008</t>
        </is>
      </c>
      <c r="B9" s="0" t="inlineStr">
        <is>
          <t xml:space="preserve">final_8760</t>
        </is>
      </c>
      <c r="C9" s="0">
        <v>21000000</v>
      </c>
      <c r="D9" s="0">
        <v>1846000.0000000002</v>
      </c>
      <c r="E9" s="0">
        <v>1846000.0000000002</v>
      </c>
      <c r="F9" s="0">
        <v>0</v>
      </c>
      <c r="G9" s="11">
        <v>1</v>
      </c>
      <c r="H9" s="11">
        <v>0.08790476190476192</v>
      </c>
      <c r="I9" s="9">
        <v>5262193659.227949</v>
      </c>
      <c r="J9" s="9">
        <v>2850.5924481191487</v>
      </c>
      <c r="K9" s="0">
        <v>0.012</v>
      </c>
      <c r="L9" s="0" t="inlineStr">
        <is>
          <t xml:space="preserve">528fdc8f543beca179aa99d25097f476f91de64f36a580c7574a22e52075e616</t>
        </is>
      </c>
      <c r="M9" s="15" t="inlineStr">
        <is>
          <t xml:space="preserve">PASS</t>
        </is>
      </c>
      <c r="N9" s="23">
        <v>1565</v>
      </c>
      <c r="O9" s="23">
        <v>5005</v>
      </c>
      <c r="P9" s="23">
        <v>2190</v>
      </c>
      <c r="Q9" s="23">
        <v>1565</v>
      </c>
      <c r="R9" s="0" t="inlineStr">
        <is>
          <t xml:space="preserve">5ebe78feaf8fe2330ec10d651e064bfa54831d7cc1ede7a74a436cc20bb26358</t>
        </is>
      </c>
      <c r="S9" s="15" t="inlineStr">
        <is>
          <t xml:space="preserve">PASS</t>
        </is>
      </c>
      <c r="T9" s="0" t="inlineStr">
        <is>
          <t xml:space="preserve">SIMULATED_MODEL_INPUT_ONLY</t>
        </is>
      </c>
    </row>
    <row r="10">
      <c r="A10" s="0" t="inlineStr">
        <is>
          <t xml:space="preserve">VG-009</t>
        </is>
      </c>
      <c r="B10" s="0" t="inlineStr">
        <is>
          <t xml:space="preserve">final_8760</t>
        </is>
      </c>
      <c r="C10" s="0">
        <v>27000000</v>
      </c>
      <c r="D10" s="0">
        <v>1846000.0000000002</v>
      </c>
      <c r="E10" s="0">
        <v>1846000.0000000002</v>
      </c>
      <c r="F10" s="0">
        <v>0</v>
      </c>
      <c r="G10" s="11">
        <v>1</v>
      </c>
      <c r="H10" s="11">
        <v>0.06837037037037037</v>
      </c>
      <c r="I10" s="9">
        <v>5262193659.227949</v>
      </c>
      <c r="J10" s="9">
        <v>2850.5924481191487</v>
      </c>
      <c r="K10" s="0">
        <v>0.012</v>
      </c>
      <c r="L10" s="0" t="inlineStr">
        <is>
          <t xml:space="preserve">cd9db32c719e05677e041e7763422b74048db7043a9a5affde2d4f466c1327c3</t>
        </is>
      </c>
      <c r="M10" s="15" t="inlineStr">
        <is>
          <t xml:space="preserve">PASS</t>
        </is>
      </c>
      <c r="N10" s="23">
        <v>1565</v>
      </c>
      <c r="O10" s="23">
        <v>5005</v>
      </c>
      <c r="P10" s="23">
        <v>2190</v>
      </c>
      <c r="Q10" s="23">
        <v>1565</v>
      </c>
      <c r="R10" s="0" t="inlineStr">
        <is>
          <t xml:space="preserve">5ebe78feaf8fe2330ec10d651e064bfa54831d7cc1ede7a74a436cc20bb26358</t>
        </is>
      </c>
      <c r="S10" s="15" t="inlineStr">
        <is>
          <t xml:space="preserve">PASS</t>
        </is>
      </c>
      <c r="T10" s="0" t="inlineStr">
        <is>
          <t xml:space="preserve">SIMULATED_MODEL_INPUT_ONLY</t>
        </is>
      </c>
    </row>
    <row r="11">
      <c r="A11" s="0" t="inlineStr">
        <is>
          <t xml:space="preserve">VG-010</t>
        </is>
      </c>
      <c r="B11" s="0" t="inlineStr">
        <is>
          <t xml:space="preserve">final_8760</t>
        </is>
      </c>
      <c r="C11" s="0">
        <v>22000000</v>
      </c>
      <c r="D11" s="0">
        <v>1846000.0000000002</v>
      </c>
      <c r="E11" s="0">
        <v>1846000.0000000002</v>
      </c>
      <c r="F11" s="0">
        <v>0</v>
      </c>
      <c r="G11" s="11">
        <v>1</v>
      </c>
      <c r="H11" s="11">
        <v>0.08390909090909092</v>
      </c>
      <c r="I11" s="9">
        <v>5262193659.227949</v>
      </c>
      <c r="J11" s="9">
        <v>2850.5924481191487</v>
      </c>
      <c r="K11" s="0">
        <v>0.012</v>
      </c>
      <c r="L11" s="0" t="inlineStr">
        <is>
          <t xml:space="preserve">7d561778a3a92a14e0baac84141909b61c590b4a7b0ca751527b7b63e03d5c40</t>
        </is>
      </c>
      <c r="M11" s="15" t="inlineStr">
        <is>
          <t xml:space="preserve">PASS</t>
        </is>
      </c>
      <c r="N11" s="23">
        <v>1565</v>
      </c>
      <c r="O11" s="23">
        <v>5005</v>
      </c>
      <c r="P11" s="23">
        <v>2190</v>
      </c>
      <c r="Q11" s="23">
        <v>1565</v>
      </c>
      <c r="R11" s="0" t="inlineStr">
        <is>
          <t xml:space="preserve">5ebe78feaf8fe2330ec10d651e064bfa54831d7cc1ede7a74a436cc20bb26358</t>
        </is>
      </c>
      <c r="S11" s="15" t="inlineStr">
        <is>
          <t xml:space="preserve">PASS</t>
        </is>
      </c>
      <c r="T11" s="0" t="inlineStr">
        <is>
          <t xml:space="preserve">SIMULATED_MODEL_INPUT_ONLY</t>
        </is>
      </c>
    </row>
    <row r="12">
      <c r="A12" s="0" t="inlineStr">
        <is>
          <t xml:space="preserve">VG-011</t>
        </is>
      </c>
      <c r="B12" s="0" t="inlineStr">
        <is>
          <t xml:space="preserve">final_8760</t>
        </is>
      </c>
      <c r="C12" s="0">
        <v>12000000</v>
      </c>
      <c r="D12" s="0">
        <v>1704000.0000000002</v>
      </c>
      <c r="E12" s="0">
        <v>1704000.0000000002</v>
      </c>
      <c r="F12" s="0">
        <v>0</v>
      </c>
      <c r="G12" s="11">
        <v>1</v>
      </c>
      <c r="H12" s="11">
        <v>0.14200000000000002</v>
      </c>
      <c r="I12" s="9">
        <v>4857409531.59503</v>
      </c>
      <c r="J12" s="9">
        <v>2850.5924481191487</v>
      </c>
      <c r="K12" s="0">
        <v>0.012</v>
      </c>
      <c r="L12" s="0" t="inlineStr">
        <is>
          <t xml:space="preserve">061ddb52bd6ee3f379935d9a09eb50b953253d9ea1df7b84bb2f1a7777c4bad7</t>
        </is>
      </c>
      <c r="M12" s="15" t="inlineStr">
        <is>
          <t xml:space="preserve">PASS</t>
        </is>
      </c>
      <c r="N12" s="23">
        <v>1565</v>
      </c>
      <c r="O12" s="23">
        <v>5005</v>
      </c>
      <c r="P12" s="23">
        <v>2190</v>
      </c>
      <c r="Q12" s="23">
        <v>1565</v>
      </c>
      <c r="R12" s="0" t="inlineStr">
        <is>
          <t xml:space="preserve">5ebe78feaf8fe2330ec10d651e064bfa54831d7cc1ede7a74a436cc20bb26358</t>
        </is>
      </c>
      <c r="S12" s="15" t="inlineStr">
        <is>
          <t xml:space="preserve">PASS</t>
        </is>
      </c>
      <c r="T12" s="0" t="inlineStr">
        <is>
          <t xml:space="preserve">SIMULATED_MODEL_INPUT_ONLY</t>
        </is>
      </c>
    </row>
    <row r="13">
      <c r="A13" s="0" t="inlineStr">
        <is>
          <t xml:space="preserve">VG-012</t>
        </is>
      </c>
      <c r="B13" s="0" t="inlineStr">
        <is>
          <t xml:space="preserve">final_8760</t>
        </is>
      </c>
      <c r="C13" s="0">
        <v>15000000</v>
      </c>
      <c r="D13" s="0">
        <v>1633000</v>
      </c>
      <c r="E13" s="0">
        <v>1633000</v>
      </c>
      <c r="F13" s="0">
        <v>0</v>
      </c>
      <c r="G13" s="11">
        <v>1</v>
      </c>
      <c r="H13" s="11">
        <v>0.10886666666666667</v>
      </c>
      <c r="I13" s="9">
        <v>4655017467.77857</v>
      </c>
      <c r="J13" s="9">
        <v>2850.5924481191487</v>
      </c>
      <c r="K13" s="0">
        <v>0.012</v>
      </c>
      <c r="L13" s="0" t="inlineStr">
        <is>
          <t xml:space="preserve">d7f85aa071fbff1a0a2da730d8310d6044609547b58f05834e92a860c8853bf4</t>
        </is>
      </c>
      <c r="M13" s="15" t="inlineStr">
        <is>
          <t xml:space="preserve">PASS</t>
        </is>
      </c>
      <c r="N13" s="23">
        <v>1565</v>
      </c>
      <c r="O13" s="23">
        <v>5005</v>
      </c>
      <c r="P13" s="23">
        <v>2190</v>
      </c>
      <c r="Q13" s="23">
        <v>1565</v>
      </c>
      <c r="R13" s="0" t="inlineStr">
        <is>
          <t xml:space="preserve">5ebe78feaf8fe2330ec10d651e064bfa54831d7cc1ede7a74a436cc20bb26358</t>
        </is>
      </c>
      <c r="S13" s="15" t="inlineStr">
        <is>
          <t xml:space="preserve">PASS</t>
        </is>
      </c>
      <c r="T13" s="0" t="inlineStr">
        <is>
          <t xml:space="preserve">SIMULATED_MODEL_INPUT_ONLY</t>
        </is>
      </c>
    </row>
    <row r="14">
      <c r="A14" s="0" t="inlineStr">
        <is>
          <t xml:space="preserve">VG-013</t>
        </is>
      </c>
      <c r="B14" s="0" t="inlineStr">
        <is>
          <t xml:space="preserve">final_8760</t>
        </is>
      </c>
      <c r="C14" s="0">
        <v>13000000</v>
      </c>
      <c r="D14" s="0">
        <v>1491000</v>
      </c>
      <c r="E14" s="0">
        <v>1491000</v>
      </c>
      <c r="F14" s="0">
        <v>0</v>
      </c>
      <c r="G14" s="11">
        <v>1</v>
      </c>
      <c r="H14" s="11">
        <v>0.11469230769230769</v>
      </c>
      <c r="I14" s="9">
        <v>4250233340.1456513</v>
      </c>
      <c r="J14" s="9">
        <v>2850.592448119149</v>
      </c>
      <c r="K14" s="0">
        <v>0.012</v>
      </c>
      <c r="L14" s="0" t="inlineStr">
        <is>
          <t xml:space="preserve">67ed35ad63e5a6fd277fa51d140bf1f4a4d9ec36a33d187d77a3ec6391a85078</t>
        </is>
      </c>
      <c r="M14" s="15" t="inlineStr">
        <is>
          <t xml:space="preserve">PASS</t>
        </is>
      </c>
      <c r="N14" s="23">
        <v>1565</v>
      </c>
      <c r="O14" s="23">
        <v>5005</v>
      </c>
      <c r="P14" s="23">
        <v>2190</v>
      </c>
      <c r="Q14" s="23">
        <v>1565</v>
      </c>
      <c r="R14" s="0" t="inlineStr">
        <is>
          <t xml:space="preserve">5ebe78feaf8fe2330ec10d651e064bfa54831d7cc1ede7a74a436cc20bb26358</t>
        </is>
      </c>
      <c r="S14" s="15" t="inlineStr">
        <is>
          <t xml:space="preserve">PASS</t>
        </is>
      </c>
      <c r="T14" s="0" t="inlineStr">
        <is>
          <t xml:space="preserve">SIMULATED_MODEL_INPUT_ONLY</t>
        </is>
      </c>
    </row>
    <row r="15">
      <c r="A15" s="0" t="inlineStr">
        <is>
          <t xml:space="preserve">VG-014</t>
        </is>
      </c>
      <c r="B15" s="0" t="inlineStr">
        <is>
          <t xml:space="preserve">final_8760</t>
        </is>
      </c>
      <c r="C15" s="0">
        <v>26000000</v>
      </c>
      <c r="D15" s="0">
        <v>1775000.0000000002</v>
      </c>
      <c r="E15" s="0">
        <v>1775000.0000000002</v>
      </c>
      <c r="F15" s="0">
        <v>0</v>
      </c>
      <c r="G15" s="11">
        <v>1</v>
      </c>
      <c r="H15" s="11">
        <v>0.06826923076923078</v>
      </c>
      <c r="I15" s="9">
        <v>5059801595.4114895</v>
      </c>
      <c r="J15" s="9">
        <v>2850.5924481191487</v>
      </c>
      <c r="K15" s="0">
        <v>0.012</v>
      </c>
      <c r="L15" s="0" t="inlineStr">
        <is>
          <t xml:space="preserve">bad14b14e9137fcef373194b0957dc78e82f28cbfc66bc83355a2a4c43de6a0c</t>
        </is>
      </c>
      <c r="M15" s="15" t="inlineStr">
        <is>
          <t xml:space="preserve">PASS</t>
        </is>
      </c>
      <c r="N15" s="23">
        <v>1565</v>
      </c>
      <c r="O15" s="23">
        <v>5005</v>
      </c>
      <c r="P15" s="23">
        <v>2190</v>
      </c>
      <c r="Q15" s="23">
        <v>1565</v>
      </c>
      <c r="R15" s="0" t="inlineStr">
        <is>
          <t xml:space="preserve">5ebe78feaf8fe2330ec10d651e064bfa54831d7cc1ede7a74a436cc20bb26358</t>
        </is>
      </c>
      <c r="S15" s="15" t="inlineStr">
        <is>
          <t xml:space="preserve">PASS</t>
        </is>
      </c>
      <c r="T15" s="0" t="inlineStr">
        <is>
          <t xml:space="preserve">SIMULATED_MODEL_INPUT_ONLY</t>
        </is>
      </c>
    </row>
    <row r="16">
      <c r="A16" s="0" t="inlineStr">
        <is>
          <t xml:space="preserve">VG-015</t>
        </is>
      </c>
      <c r="B16" s="0" t="inlineStr">
        <is>
          <t xml:space="preserve">final_8760</t>
        </is>
      </c>
      <c r="C16" s="0">
        <v>14500000</v>
      </c>
      <c r="D16" s="0">
        <v>1704000.0000000002</v>
      </c>
      <c r="E16" s="0">
        <v>1704000.0000000002</v>
      </c>
      <c r="F16" s="0">
        <v>0</v>
      </c>
      <c r="G16" s="11">
        <v>1</v>
      </c>
      <c r="H16" s="11">
        <v>0.11751724137931036</v>
      </c>
      <c r="I16" s="9">
        <v>4857409531.59503</v>
      </c>
      <c r="J16" s="9">
        <v>2850.5924481191487</v>
      </c>
      <c r="K16" s="0">
        <v>0.012</v>
      </c>
      <c r="L16" s="0" t="inlineStr">
        <is>
          <t xml:space="preserve">2f2ee2ef6f1d911cee0ac62602383d148bf1fc94dc1a3d8819707ce05b7c0686</t>
        </is>
      </c>
      <c r="M16" s="15" t="inlineStr">
        <is>
          <t xml:space="preserve">PASS</t>
        </is>
      </c>
      <c r="N16" s="23">
        <v>1565</v>
      </c>
      <c r="O16" s="23">
        <v>5005</v>
      </c>
      <c r="P16" s="23">
        <v>2190</v>
      </c>
      <c r="Q16" s="23">
        <v>1565</v>
      </c>
      <c r="R16" s="0" t="inlineStr">
        <is>
          <t xml:space="preserve">5ebe78feaf8fe2330ec10d651e064bfa54831d7cc1ede7a74a436cc20bb26358</t>
        </is>
      </c>
      <c r="S16" s="15" t="inlineStr">
        <is>
          <t xml:space="preserve">PASS</t>
        </is>
      </c>
      <c r="T16" s="0" t="inlineStr">
        <is>
          <t xml:space="preserve">SIMULATED_MODEL_INPUT_ONLY</t>
        </is>
      </c>
    </row>
    <row r="17">
      <c r="A17" s="0" t="inlineStr">
        <is>
          <t xml:space="preserve">VG-016</t>
        </is>
      </c>
      <c r="B17" s="0" t="inlineStr">
        <is>
          <t xml:space="preserve">final_8760</t>
        </is>
      </c>
      <c r="C17" s="0">
        <v>14000000</v>
      </c>
      <c r="D17" s="0">
        <v>1420000</v>
      </c>
      <c r="E17" s="0">
        <v>1420000</v>
      </c>
      <c r="F17" s="0">
        <v>0</v>
      </c>
      <c r="G17" s="11">
        <v>1</v>
      </c>
      <c r="H17" s="11">
        <v>0.10142857142857142</v>
      </c>
      <c r="I17" s="9">
        <v>4047841276.3291917</v>
      </c>
      <c r="J17" s="9">
        <v>2850.592448119149</v>
      </c>
      <c r="K17" s="0">
        <v>0.012</v>
      </c>
      <c r="L17" s="0" t="inlineStr">
        <is>
          <t xml:space="preserve">8b6d80b3441b164efd5f1d6a86f2f7b034055f5fe29aaf4408ccfad178023f20</t>
        </is>
      </c>
      <c r="M17" s="15" t="inlineStr">
        <is>
          <t xml:space="preserve">PASS</t>
        </is>
      </c>
      <c r="N17" s="23">
        <v>1565</v>
      </c>
      <c r="O17" s="23">
        <v>5005</v>
      </c>
      <c r="P17" s="23">
        <v>2190</v>
      </c>
      <c r="Q17" s="23">
        <v>1565</v>
      </c>
      <c r="R17" s="0" t="inlineStr">
        <is>
          <t xml:space="preserve">5ebe78feaf8fe2330ec10d651e064bfa54831d7cc1ede7a74a436cc20bb26358</t>
        </is>
      </c>
      <c r="S17" s="15" t="inlineStr">
        <is>
          <t xml:space="preserve">PASS</t>
        </is>
      </c>
      <c r="T17" s="0" t="inlineStr">
        <is>
          <t xml:space="preserve">SIMULATED_MODEL_INPUT_ONLY</t>
        </is>
      </c>
    </row>
    <row r="18">
      <c r="A18" s="0" t="inlineStr">
        <is>
          <t xml:space="preserve">VG-017</t>
        </is>
      </c>
      <c r="B18" s="0" t="inlineStr">
        <is>
          <t xml:space="preserve">final_8760</t>
        </is>
      </c>
      <c r="C18" s="0">
        <v>23000000</v>
      </c>
      <c r="D18" s="0">
        <v>1584000</v>
      </c>
      <c r="E18" s="0">
        <v>1584000</v>
      </c>
      <c r="F18" s="0">
        <v>0</v>
      </c>
      <c r="G18" s="11">
        <v>1</v>
      </c>
      <c r="H18" s="11">
        <v>0.06886956521739131</v>
      </c>
      <c r="I18" s="9">
        <v>4515338437.820731</v>
      </c>
      <c r="J18" s="9">
        <v>2850.5924481191487</v>
      </c>
      <c r="K18" s="0">
        <v>0.012</v>
      </c>
      <c r="L18" s="0" t="inlineStr">
        <is>
          <t xml:space="preserve">9ff6b68d6b82f5047acb4f9d0025259c220950f408669958d3278ab02267a102</t>
        </is>
      </c>
      <c r="M18" s="15" t="inlineStr">
        <is>
          <t xml:space="preserve">PASS</t>
        </is>
      </c>
      <c r="N18" s="23">
        <v>1565</v>
      </c>
      <c r="O18" s="23">
        <v>5005</v>
      </c>
      <c r="P18" s="23">
        <v>2190</v>
      </c>
      <c r="Q18" s="23">
        <v>1565</v>
      </c>
      <c r="R18" s="0" t="inlineStr">
        <is>
          <t xml:space="preserve">5ebe78feaf8fe2330ec10d651e064bfa54831d7cc1ede7a74a436cc20bb26358</t>
        </is>
      </c>
      <c r="S18" s="15" t="inlineStr">
        <is>
          <t xml:space="preserve">PASS</t>
        </is>
      </c>
      <c r="T18" s="0" t="inlineStr">
        <is>
          <t xml:space="preserve">SIMULATED_MODEL_INPUT_ONLY</t>
        </is>
      </c>
    </row>
    <row r="19">
      <c r="A19" s="0" t="inlineStr">
        <is>
          <t xml:space="preserve">VG-018</t>
        </is>
      </c>
      <c r="B19" s="0" t="inlineStr">
        <is>
          <t xml:space="preserve">final_8760</t>
        </is>
      </c>
      <c r="C19" s="0">
        <v>15500000</v>
      </c>
      <c r="D19" s="0">
        <v>1518000</v>
      </c>
      <c r="E19" s="0">
        <v>1518000</v>
      </c>
      <c r="F19" s="0">
        <v>0</v>
      </c>
      <c r="G19" s="11">
        <v>1</v>
      </c>
      <c r="H19" s="11">
        <v>0.09793548387096775</v>
      </c>
      <c r="I19" s="9">
        <v>4327199336.244867</v>
      </c>
      <c r="J19" s="9">
        <v>2850.5924481191487</v>
      </c>
      <c r="K19" s="0">
        <v>0.012</v>
      </c>
      <c r="L19" s="0" t="inlineStr">
        <is>
          <t xml:space="preserve">2958f8cdc19dc8a90e20ebab21c5d2d9bfa388241afac20412971ab25deff7b1</t>
        </is>
      </c>
      <c r="M19" s="15" t="inlineStr">
        <is>
          <t xml:space="preserve">PASS</t>
        </is>
      </c>
      <c r="N19" s="23">
        <v>1565</v>
      </c>
      <c r="O19" s="23">
        <v>5005</v>
      </c>
      <c r="P19" s="23">
        <v>2190</v>
      </c>
      <c r="Q19" s="23">
        <v>1565</v>
      </c>
      <c r="R19" s="0" t="inlineStr">
        <is>
          <t xml:space="preserve">5ebe78feaf8fe2330ec10d651e064bfa54831d7cc1ede7a74a436cc20bb26358</t>
        </is>
      </c>
      <c r="S19" s="15" t="inlineStr">
        <is>
          <t xml:space="preserve">PASS</t>
        </is>
      </c>
      <c r="T19" s="0" t="inlineStr">
        <is>
          <t xml:space="preserve">SIMULATED_MODEL_INPUT_ONLY</t>
        </is>
      </c>
    </row>
    <row r="20">
      <c r="A20" s="0" t="inlineStr">
        <is>
          <t xml:space="preserve">VG-019</t>
        </is>
      </c>
      <c r="B20" s="0" t="inlineStr">
        <is>
          <t xml:space="preserve">final_8760</t>
        </is>
      </c>
      <c r="C20" s="0">
        <v>20000000</v>
      </c>
      <c r="D20" s="0">
        <v>1386000</v>
      </c>
      <c r="E20" s="0">
        <v>1386000</v>
      </c>
      <c r="F20" s="0">
        <v>0</v>
      </c>
      <c r="G20" s="11">
        <v>1</v>
      </c>
      <c r="H20" s="11">
        <v>0.0693</v>
      </c>
      <c r="I20" s="9">
        <v>3950921133.0931406</v>
      </c>
      <c r="J20" s="9">
        <v>2850.592448119149</v>
      </c>
      <c r="K20" s="0">
        <v>0.061</v>
      </c>
      <c r="L20" s="0" t="inlineStr">
        <is>
          <t xml:space="preserve">8142e5027de4226413bff5906ec8314a08ab3cb6ba98e83a447f30c7e054d03f</t>
        </is>
      </c>
      <c r="M20" s="15" t="inlineStr">
        <is>
          <t xml:space="preserve">PASS</t>
        </is>
      </c>
      <c r="N20" s="23">
        <v>1565</v>
      </c>
      <c r="O20" s="23">
        <v>5005</v>
      </c>
      <c r="P20" s="23">
        <v>2190</v>
      </c>
      <c r="Q20" s="23">
        <v>1565</v>
      </c>
      <c r="R20" s="0" t="inlineStr">
        <is>
          <t xml:space="preserve">5ebe78feaf8fe2330ec10d651e064bfa54831d7cc1ede7a74a436cc20bb26358</t>
        </is>
      </c>
      <c r="S20" s="15" t="inlineStr">
        <is>
          <t xml:space="preserve">PASS</t>
        </is>
      </c>
      <c r="T20" s="0" t="inlineStr">
        <is>
          <t xml:space="preserve">SIMULATED_MODEL_INPUT_ONLY</t>
        </is>
      </c>
    </row>
    <row r="21">
      <c r="A21" s="0" t="inlineStr">
        <is>
          <t xml:space="preserve">VG-020</t>
        </is>
      </c>
      <c r="B21" s="0" t="inlineStr">
        <is>
          <t xml:space="preserve">final_8760</t>
        </is>
      </c>
      <c r="C21" s="0">
        <v>18000000</v>
      </c>
      <c r="D21" s="0">
        <v>1491000</v>
      </c>
      <c r="E21" s="0">
        <v>1491000</v>
      </c>
      <c r="F21" s="0">
        <v>0</v>
      </c>
      <c r="G21" s="11">
        <v>1</v>
      </c>
      <c r="H21" s="11">
        <v>0.08283333333333333</v>
      </c>
      <c r="I21" s="9">
        <v>4250233340.1456513</v>
      </c>
      <c r="J21" s="9">
        <v>2850.592448119149</v>
      </c>
      <c r="K21" s="0">
        <v>0.012</v>
      </c>
      <c r="L21" s="0" t="inlineStr">
        <is>
          <t xml:space="preserve">e8e8d48e1da77dda531e92c304ce01b59d973f6866fb926afc81c813b38ccb0f</t>
        </is>
      </c>
      <c r="M21" s="15" t="inlineStr">
        <is>
          <t xml:space="preserve">PASS</t>
        </is>
      </c>
      <c r="N21" s="23">
        <v>1565</v>
      </c>
      <c r="O21" s="23">
        <v>5005</v>
      </c>
      <c r="P21" s="23">
        <v>2190</v>
      </c>
      <c r="Q21" s="23">
        <v>1565</v>
      </c>
      <c r="R21" s="0" t="inlineStr">
        <is>
          <t xml:space="preserve">5ebe78feaf8fe2330ec10d651e064bfa54831d7cc1ede7a74a436cc20bb26358</t>
        </is>
      </c>
      <c r="S21" s="15" t="inlineStr">
        <is>
          <t xml:space="preserve">PASS</t>
        </is>
      </c>
      <c r="T21" s="0" t="inlineStr">
        <is>
          <t xml:space="preserve">SIMULATED_MODEL_INPUT_ONLY</t>
        </is>
      </c>
    </row>
  </sheetData>
  <autoFilter ref="A1:T21"/>
  <pageMargins left="0.35" right="0.35" top="0.5" bottom="0.5" header="0.2" footer="0.2"/>
</worksheet>
</file>

<file path=xl/worksheets/sheet8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6.20" customWidth="1"/>
    <col min="3" max="3" width="16.20" customWidth="1"/>
    <col min="4" max="4" width="24.00" customWidth="1"/>
    <col min="5" max="5" width="23.40" customWidth="1"/>
    <col min="6" max="6" width="16.20" customWidth="1"/>
    <col min="7" max="7" width="16.20" customWidth="1"/>
    <col min="8" max="8" width="23.40" customWidth="1"/>
    <col min="9" max="9" width="16.20" customWidth="1"/>
    <col min="10" max="10" width="24.00" customWidth="1"/>
    <col min="11" max="11" width="23.40" customWidth="1"/>
    <col min="12" max="12" width="16.20" customWidth="1"/>
    <col min="13" max="13" width="10.00" customWidth="1"/>
    <col min="14" max="14" width="16.20" customWidth="1"/>
    <col min="15" max="15" width="18.90" customWidth="1"/>
    <col min="16" max="16" width="21.25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construction_month</t>
        </is>
      </c>
      <c r="C1" s="4" t="inlineStr">
        <is>
          <t xml:space="preserve">construction_share</t>
        </is>
      </c>
      <c r="D1" s="4" t="inlineStr">
        <is>
          <t xml:space="preserve">construction_capex_gross_vnd</t>
        </is>
      </c>
      <c r="E1" s="4" t="inlineStr">
        <is>
          <t xml:space="preserve">construction_capex_net_vnd</t>
        </is>
      </c>
      <c r="F1" s="4" t="inlineStr">
        <is>
          <t xml:space="preserve">vat_vnd</t>
        </is>
      </c>
      <c r="G1" s="4" t="inlineStr">
        <is>
          <t xml:space="preserve">idc_vnd</t>
        </is>
      </c>
      <c r="H1" s="4" t="inlineStr">
        <is>
          <t xml:space="preserve">cumulative_capex_gross_vnd</t>
        </is>
      </c>
      <c r="I1" s="4" t="inlineStr">
        <is>
          <t xml:space="preserve">cumulative_idc_vnd</t>
        </is>
      </c>
      <c r="J1" s="4" t="inlineStr">
        <is>
          <t xml:space="preserve">total_construction_gross_vnd</t>
        </is>
      </c>
      <c r="K1" s="4" t="inlineStr">
        <is>
          <t xml:space="preserve">total_construction_net_vnd</t>
        </is>
      </c>
      <c r="L1" s="4" t="inlineStr">
        <is>
          <t xml:space="preserve">total_vat_vnd</t>
        </is>
      </c>
      <c r="M1" s="4" t="inlineStr">
        <is>
          <t xml:space="preserve">idc_rate</t>
        </is>
      </c>
      <c r="N1" s="4" t="inlineStr">
        <is>
          <t xml:space="preserve">total_uses_vnd</t>
        </is>
      </c>
      <c r="O1" s="4" t="inlineStr">
        <is>
          <t xml:space="preserve">reconciliation_status</t>
        </is>
      </c>
      <c r="P1" s="4" t="inlineStr">
        <is>
          <t xml:space="preserve">source_or_assumption_id</t>
        </is>
      </c>
    </row>
    <row r="2">
      <c r="A2" s="0" t="inlineStr">
        <is>
          <t xml:space="preserve">VG-001</t>
        </is>
      </c>
      <c r="B2" s="23">
        <v>1</v>
      </c>
      <c r="C2" s="11">
        <v>0.05</v>
      </c>
      <c r="D2" s="9">
        <v>1487500000</v>
      </c>
      <c r="E2" s="9">
        <v>1352272727.2727273</v>
      </c>
      <c r="F2" s="9">
        <v>135227272.72727284</v>
      </c>
      <c r="G2" s="9">
        <v>110153882.57575758</v>
      </c>
      <c r="H2" s="9">
        <v>1487500000</v>
      </c>
      <c r="I2" s="9">
        <v>110153882.57575758</v>
      </c>
      <c r="J2" s="9">
        <v>29750000000</v>
      </c>
      <c r="K2" s="9">
        <v>27045454545.454544</v>
      </c>
      <c r="L2" s="9">
        <v>2704545454.545457</v>
      </c>
      <c r="M2" s="11">
        <v>0.085</v>
      </c>
      <c r="N2" s="9">
        <v>31056520833.333332</v>
      </c>
      <c r="O2" s="15" t="inlineStr">
        <is>
          <t xml:space="preserve">PASS</t>
        </is>
      </c>
      <c r="P2" s="0" t="inlineStr">
        <is>
          <t xml:space="preserve">ASM-CONSTRUCTION-SCHEDULE</t>
        </is>
      </c>
    </row>
    <row r="3">
      <c r="A3" s="0" t="inlineStr">
        <is>
          <t xml:space="preserve">VG-001</t>
        </is>
      </c>
      <c r="B3" s="23">
        <v>2</v>
      </c>
      <c r="C3" s="11">
        <v>0.08</v>
      </c>
      <c r="D3" s="9">
        <v>2380000000</v>
      </c>
      <c r="E3" s="9">
        <v>2163636363.6363635</v>
      </c>
      <c r="F3" s="9">
        <v>216363636.36363655</v>
      </c>
      <c r="G3" s="9">
        <v>160920454.54545453</v>
      </c>
      <c r="H3" s="9">
        <v>3867500000</v>
      </c>
      <c r="I3" s="9">
        <v>271074337.1212121</v>
      </c>
      <c r="J3" s="9">
        <v>29750000000</v>
      </c>
      <c r="K3" s="9">
        <v>27045454545.454544</v>
      </c>
      <c r="L3" s="9">
        <v>2704545454.545457</v>
      </c>
      <c r="M3" s="11">
        <v>0.085</v>
      </c>
      <c r="N3" s="9">
        <v>31056520833.333332</v>
      </c>
      <c r="O3" s="15" t="inlineStr">
        <is>
          <t xml:space="preserve">PASS</t>
        </is>
      </c>
      <c r="P3" s="0" t="inlineStr">
        <is>
          <t xml:space="preserve">ASM-CONSTRUCTION-SCHEDULE</t>
        </is>
      </c>
    </row>
    <row r="4">
      <c r="A4" s="0" t="inlineStr">
        <is>
          <t xml:space="preserve">VG-001</t>
        </is>
      </c>
      <c r="B4" s="23">
        <v>3</v>
      </c>
      <c r="C4" s="11">
        <v>0.1</v>
      </c>
      <c r="D4" s="9">
        <v>2975000000</v>
      </c>
      <c r="E4" s="9">
        <v>2704545454.5454545</v>
      </c>
      <c r="F4" s="9">
        <v>270454545.4545457</v>
      </c>
      <c r="G4" s="9">
        <v>181993371.21212122</v>
      </c>
      <c r="H4" s="9">
        <v>6842500000</v>
      </c>
      <c r="I4" s="9">
        <v>453067708.3333334</v>
      </c>
      <c r="J4" s="9">
        <v>29750000000</v>
      </c>
      <c r="K4" s="9">
        <v>27045454545.454544</v>
      </c>
      <c r="L4" s="9">
        <v>2704545454.545457</v>
      </c>
      <c r="M4" s="11">
        <v>0.085</v>
      </c>
      <c r="N4" s="9">
        <v>31056520833.333332</v>
      </c>
      <c r="O4" s="15" t="inlineStr">
        <is>
          <t xml:space="preserve">PASS</t>
        </is>
      </c>
      <c r="P4" s="0" t="inlineStr">
        <is>
          <t xml:space="preserve">ASM-CONSTRUCTION-SCHEDULE</t>
        </is>
      </c>
    </row>
    <row r="5">
      <c r="A5" s="0" t="inlineStr">
        <is>
          <t xml:space="preserve">VG-001</t>
        </is>
      </c>
      <c r="B5" s="23">
        <v>4</v>
      </c>
      <c r="C5" s="11">
        <v>0.12</v>
      </c>
      <c r="D5" s="9">
        <v>3570000000</v>
      </c>
      <c r="E5" s="9">
        <v>3245454545.454545</v>
      </c>
      <c r="F5" s="9">
        <v>324545454.5454548</v>
      </c>
      <c r="G5" s="9">
        <v>195403409.0909091</v>
      </c>
      <c r="H5" s="9">
        <v>10412500000</v>
      </c>
      <c r="I5" s="9">
        <v>648471117.4242425</v>
      </c>
      <c r="J5" s="9">
        <v>29750000000</v>
      </c>
      <c r="K5" s="9">
        <v>27045454545.454544</v>
      </c>
      <c r="L5" s="9">
        <v>2704545454.545457</v>
      </c>
      <c r="M5" s="11">
        <v>0.085</v>
      </c>
      <c r="N5" s="9">
        <v>31056520833.333332</v>
      </c>
      <c r="O5" s="15" t="inlineStr">
        <is>
          <t xml:space="preserve">PASS</t>
        </is>
      </c>
      <c r="P5" s="0" t="inlineStr">
        <is>
          <t xml:space="preserve">ASM-CONSTRUCTION-SCHEDULE</t>
        </is>
      </c>
    </row>
    <row r="6">
      <c r="A6" s="0" t="inlineStr">
        <is>
          <t xml:space="preserve">VG-001</t>
        </is>
      </c>
      <c r="B6" s="23">
        <v>5</v>
      </c>
      <c r="C6" s="11">
        <v>0.14</v>
      </c>
      <c r="D6" s="9">
        <v>4165000000.0000005</v>
      </c>
      <c r="E6" s="9">
        <v>3786363636.3636365</v>
      </c>
      <c r="F6" s="9">
        <v>378636363.636364</v>
      </c>
      <c r="G6" s="9">
        <v>201150568.18181822</v>
      </c>
      <c r="H6" s="9">
        <v>14577500000</v>
      </c>
      <c r="I6" s="9">
        <v>849621685.6060607</v>
      </c>
      <c r="J6" s="9">
        <v>29750000000</v>
      </c>
      <c r="K6" s="9">
        <v>27045454545.454544</v>
      </c>
      <c r="L6" s="9">
        <v>2704545454.545457</v>
      </c>
      <c r="M6" s="11">
        <v>0.085</v>
      </c>
      <c r="N6" s="9">
        <v>31056520833.333332</v>
      </c>
      <c r="O6" s="15" t="inlineStr">
        <is>
          <t xml:space="preserve">PASS</t>
        </is>
      </c>
      <c r="P6" s="0" t="inlineStr">
        <is>
          <t xml:space="preserve">ASM-CONSTRUCTION-SCHEDULE</t>
        </is>
      </c>
    </row>
    <row r="7">
      <c r="A7" s="0" t="inlineStr">
        <is>
          <t xml:space="preserve">VG-001</t>
        </is>
      </c>
      <c r="B7" s="23">
        <v>6</v>
      </c>
      <c r="C7" s="11">
        <v>0.14</v>
      </c>
      <c r="D7" s="9">
        <v>4165000000.0000005</v>
      </c>
      <c r="E7" s="9">
        <v>3786363636.3636365</v>
      </c>
      <c r="F7" s="9">
        <v>378636363.636364</v>
      </c>
      <c r="G7" s="9">
        <v>174330492.42424244</v>
      </c>
      <c r="H7" s="9">
        <v>18742500000</v>
      </c>
      <c r="I7" s="9">
        <v>1023952178.0303032</v>
      </c>
      <c r="J7" s="9">
        <v>29750000000</v>
      </c>
      <c r="K7" s="9">
        <v>27045454545.454544</v>
      </c>
      <c r="L7" s="9">
        <v>2704545454.545457</v>
      </c>
      <c r="M7" s="11">
        <v>0.085</v>
      </c>
      <c r="N7" s="9">
        <v>31056520833.333332</v>
      </c>
      <c r="O7" s="15" t="inlineStr">
        <is>
          <t xml:space="preserve">PASS</t>
        </is>
      </c>
      <c r="P7" s="0" t="inlineStr">
        <is>
          <t xml:space="preserve">ASM-CONSTRUCTION-SCHEDULE</t>
        </is>
      </c>
    </row>
    <row r="8">
      <c r="A8" s="0" t="inlineStr">
        <is>
          <t xml:space="preserve">VG-001</t>
        </is>
      </c>
      <c r="B8" s="23">
        <v>7</v>
      </c>
      <c r="C8" s="11">
        <v>0.12</v>
      </c>
      <c r="D8" s="9">
        <v>3570000000</v>
      </c>
      <c r="E8" s="9">
        <v>3245454545.454545</v>
      </c>
      <c r="F8" s="9">
        <v>324545454.5454548</v>
      </c>
      <c r="G8" s="9">
        <v>126437500</v>
      </c>
      <c r="H8" s="9">
        <v>22312500000</v>
      </c>
      <c r="I8" s="9">
        <v>1150389678.0303032</v>
      </c>
      <c r="J8" s="9">
        <v>29750000000</v>
      </c>
      <c r="K8" s="9">
        <v>27045454545.454544</v>
      </c>
      <c r="L8" s="9">
        <v>2704545454.545457</v>
      </c>
      <c r="M8" s="11">
        <v>0.085</v>
      </c>
      <c r="N8" s="9">
        <v>31056520833.333332</v>
      </c>
      <c r="O8" s="15" t="inlineStr">
        <is>
          <t xml:space="preserve">PASS</t>
        </is>
      </c>
      <c r="P8" s="0" t="inlineStr">
        <is>
          <t xml:space="preserve">ASM-CONSTRUCTION-SCHEDULE</t>
        </is>
      </c>
    </row>
    <row r="9">
      <c r="A9" s="0" t="inlineStr">
        <is>
          <t xml:space="preserve">VG-001</t>
        </is>
      </c>
      <c r="B9" s="23">
        <v>8</v>
      </c>
      <c r="C9" s="11">
        <v>0.1</v>
      </c>
      <c r="D9" s="9">
        <v>2975000000</v>
      </c>
      <c r="E9" s="9">
        <v>2704545454.5454545</v>
      </c>
      <c r="F9" s="9">
        <v>270454545.4545457</v>
      </c>
      <c r="G9" s="9">
        <v>86207386.36363637</v>
      </c>
      <c r="H9" s="9">
        <v>25287500000</v>
      </c>
      <c r="I9" s="9">
        <v>1236597064.3939395</v>
      </c>
      <c r="J9" s="9">
        <v>29750000000</v>
      </c>
      <c r="K9" s="9">
        <v>27045454545.454544</v>
      </c>
      <c r="L9" s="9">
        <v>2704545454.545457</v>
      </c>
      <c r="M9" s="11">
        <v>0.085</v>
      </c>
      <c r="N9" s="9">
        <v>31056520833.333332</v>
      </c>
      <c r="O9" s="15" t="inlineStr">
        <is>
          <t xml:space="preserve">PASS</t>
        </is>
      </c>
      <c r="P9" s="0" t="inlineStr">
        <is>
          <t xml:space="preserve">ASM-CONSTRUCTION-SCHEDULE</t>
        </is>
      </c>
    </row>
    <row r="10">
      <c r="A10" s="0" t="inlineStr">
        <is>
          <t xml:space="preserve">VG-001</t>
        </is>
      </c>
      <c r="B10" s="23">
        <v>9</v>
      </c>
      <c r="C10" s="11">
        <v>0.06</v>
      </c>
      <c r="D10" s="9">
        <v>1785000000</v>
      </c>
      <c r="E10" s="9">
        <v>1622727272.7272725</v>
      </c>
      <c r="F10" s="9">
        <v>162272727.2727274</v>
      </c>
      <c r="G10" s="9">
        <v>40230113.63636363</v>
      </c>
      <c r="H10" s="9">
        <v>27072500000</v>
      </c>
      <c r="I10" s="9">
        <v>1276827178.0303032</v>
      </c>
      <c r="J10" s="9">
        <v>29750000000</v>
      </c>
      <c r="K10" s="9">
        <v>27045454545.454544</v>
      </c>
      <c r="L10" s="9">
        <v>2704545454.545457</v>
      </c>
      <c r="M10" s="11">
        <v>0.085</v>
      </c>
      <c r="N10" s="9">
        <v>31056520833.333332</v>
      </c>
      <c r="O10" s="15" t="inlineStr">
        <is>
          <t xml:space="preserve">PASS</t>
        </is>
      </c>
      <c r="P10" s="0" t="inlineStr">
        <is>
          <t xml:space="preserve">ASM-CONSTRUCTION-SCHEDULE</t>
        </is>
      </c>
    </row>
    <row r="11">
      <c r="A11" s="0" t="inlineStr">
        <is>
          <t xml:space="preserve">VG-001</t>
        </is>
      </c>
      <c r="B11" s="23">
        <v>10</v>
      </c>
      <c r="C11" s="11">
        <v>0.04</v>
      </c>
      <c r="D11" s="9">
        <v>1190000000</v>
      </c>
      <c r="E11" s="9">
        <v>1081818181.8181818</v>
      </c>
      <c r="F11" s="9">
        <v>108181818.18181828</v>
      </c>
      <c r="G11" s="9">
        <v>19157196.96969697</v>
      </c>
      <c r="H11" s="9">
        <v>28262500000</v>
      </c>
      <c r="I11" s="9">
        <v>1295984375.0000002</v>
      </c>
      <c r="J11" s="9">
        <v>29750000000</v>
      </c>
      <c r="K11" s="9">
        <v>27045454545.454544</v>
      </c>
      <c r="L11" s="9">
        <v>2704545454.545457</v>
      </c>
      <c r="M11" s="11">
        <v>0.085</v>
      </c>
      <c r="N11" s="9">
        <v>31056520833.333332</v>
      </c>
      <c r="O11" s="15" t="inlineStr">
        <is>
          <t xml:space="preserve">PASS</t>
        </is>
      </c>
      <c r="P11" s="0" t="inlineStr">
        <is>
          <t xml:space="preserve">ASM-CONSTRUCTION-SCHEDULE</t>
        </is>
      </c>
    </row>
    <row r="12">
      <c r="A12" s="0" t="inlineStr">
        <is>
          <t xml:space="preserve">VG-001</t>
        </is>
      </c>
      <c r="B12" s="23">
        <v>11</v>
      </c>
      <c r="C12" s="11">
        <v>0.03</v>
      </c>
      <c r="D12" s="9">
        <v>892500000</v>
      </c>
      <c r="E12" s="9">
        <v>811363636.3636363</v>
      </c>
      <c r="F12" s="9">
        <v>81136363.6363637</v>
      </c>
      <c r="G12" s="9">
        <v>8620738.636363637</v>
      </c>
      <c r="H12" s="9">
        <v>29155000000</v>
      </c>
      <c r="I12" s="9">
        <v>1304605113.636364</v>
      </c>
      <c r="J12" s="9">
        <v>29750000000</v>
      </c>
      <c r="K12" s="9">
        <v>27045454545.454544</v>
      </c>
      <c r="L12" s="9">
        <v>2704545454.545457</v>
      </c>
      <c r="M12" s="11">
        <v>0.085</v>
      </c>
      <c r="N12" s="9">
        <v>31056520833.333332</v>
      </c>
      <c r="O12" s="15" t="inlineStr">
        <is>
          <t xml:space="preserve">PASS</t>
        </is>
      </c>
      <c r="P12" s="0" t="inlineStr">
        <is>
          <t xml:space="preserve">ASM-CONSTRUCTION-SCHEDULE</t>
        </is>
      </c>
    </row>
    <row r="13">
      <c r="A13" s="0" t="inlineStr">
        <is>
          <t xml:space="preserve">VG-001</t>
        </is>
      </c>
      <c r="B13" s="23">
        <v>12</v>
      </c>
      <c r="C13" s="11">
        <v>0.02</v>
      </c>
      <c r="D13" s="9">
        <v>595000000</v>
      </c>
      <c r="E13" s="9">
        <v>540909090.9090909</v>
      </c>
      <c r="F13" s="9">
        <v>54090909.09090914</v>
      </c>
      <c r="G13" s="9">
        <v>1915719.696969697</v>
      </c>
      <c r="H13" s="9">
        <v>29750000000</v>
      </c>
      <c r="I13" s="9">
        <v>1306520833.3333337</v>
      </c>
      <c r="J13" s="9">
        <v>29750000000</v>
      </c>
      <c r="K13" s="9">
        <v>27045454545.454544</v>
      </c>
      <c r="L13" s="9">
        <v>2704545454.545457</v>
      </c>
      <c r="M13" s="11">
        <v>0.085</v>
      </c>
      <c r="N13" s="9">
        <v>31056520833.333332</v>
      </c>
      <c r="O13" s="15" t="inlineStr">
        <is>
          <t xml:space="preserve">PASS</t>
        </is>
      </c>
      <c r="P13" s="0" t="inlineStr">
        <is>
          <t xml:space="preserve">ASM-CONSTRUCTION-SCHEDULE</t>
        </is>
      </c>
    </row>
    <row r="14">
      <c r="A14" s="0" t="inlineStr">
        <is>
          <t xml:space="preserve">VG-002</t>
        </is>
      </c>
      <c r="B14" s="23">
        <v>1</v>
      </c>
      <c r="C14" s="11">
        <v>0.05</v>
      </c>
      <c r="D14" s="9">
        <v>1593750000</v>
      </c>
      <c r="E14" s="9">
        <v>1448863636.3636363</v>
      </c>
      <c r="F14" s="9">
        <v>144886363.6363638</v>
      </c>
      <c r="G14" s="9">
        <v>118022017.04545455</v>
      </c>
      <c r="H14" s="9">
        <v>1593750000</v>
      </c>
      <c r="I14" s="9">
        <v>118022017.04545455</v>
      </c>
      <c r="J14" s="9">
        <v>31875000000</v>
      </c>
      <c r="K14" s="9">
        <v>28977272727.272724</v>
      </c>
      <c r="L14" s="9">
        <v>2897727272.727276</v>
      </c>
      <c r="M14" s="11">
        <v>0.085</v>
      </c>
      <c r="N14" s="9">
        <v>33274843750</v>
      </c>
      <c r="O14" s="15" t="inlineStr">
        <is>
          <t xml:space="preserve">PASS</t>
        </is>
      </c>
      <c r="P14" s="0" t="inlineStr">
        <is>
          <t xml:space="preserve">ASM-CONSTRUCTION-SCHEDULE</t>
        </is>
      </c>
    </row>
    <row r="15">
      <c r="A15" s="0" t="inlineStr">
        <is>
          <t xml:space="preserve">VG-002</t>
        </is>
      </c>
      <c r="B15" s="23">
        <v>2</v>
      </c>
      <c r="C15" s="11">
        <v>0.08</v>
      </c>
      <c r="D15" s="9">
        <v>2550000000</v>
      </c>
      <c r="E15" s="9">
        <v>2318181818.181818</v>
      </c>
      <c r="F15" s="9">
        <v>231818181.81818208</v>
      </c>
      <c r="G15" s="9">
        <v>172414772.72727272</v>
      </c>
      <c r="H15" s="9">
        <v>4143750000</v>
      </c>
      <c r="I15" s="9">
        <v>290436789.77272725</v>
      </c>
      <c r="J15" s="9">
        <v>31875000000</v>
      </c>
      <c r="K15" s="9">
        <v>28977272727.272724</v>
      </c>
      <c r="L15" s="9">
        <v>2897727272.727276</v>
      </c>
      <c r="M15" s="11">
        <v>0.085</v>
      </c>
      <c r="N15" s="9">
        <v>33274843750</v>
      </c>
      <c r="O15" s="15" t="inlineStr">
        <is>
          <t xml:space="preserve">PASS</t>
        </is>
      </c>
      <c r="P15" s="0" t="inlineStr">
        <is>
          <t xml:space="preserve">ASM-CONSTRUCTION-SCHEDULE</t>
        </is>
      </c>
    </row>
    <row r="16">
      <c r="A16" s="0" t="inlineStr">
        <is>
          <t xml:space="preserve">VG-002</t>
        </is>
      </c>
      <c r="B16" s="23">
        <v>3</v>
      </c>
      <c r="C16" s="11">
        <v>0.1</v>
      </c>
      <c r="D16" s="9">
        <v>3187500000</v>
      </c>
      <c r="E16" s="9">
        <v>2897727272.7272725</v>
      </c>
      <c r="F16" s="9">
        <v>289772727.2727276</v>
      </c>
      <c r="G16" s="9">
        <v>194992897.72727275</v>
      </c>
      <c r="H16" s="9">
        <v>7331250000</v>
      </c>
      <c r="I16" s="9">
        <v>485429687.5</v>
      </c>
      <c r="J16" s="9">
        <v>31875000000</v>
      </c>
      <c r="K16" s="9">
        <v>28977272727.272724</v>
      </c>
      <c r="L16" s="9">
        <v>2897727272.727276</v>
      </c>
      <c r="M16" s="11">
        <v>0.085</v>
      </c>
      <c r="N16" s="9">
        <v>33274843750</v>
      </c>
      <c r="O16" s="15" t="inlineStr">
        <is>
          <t xml:space="preserve">PASS</t>
        </is>
      </c>
      <c r="P16" s="0" t="inlineStr">
        <is>
          <t xml:space="preserve">ASM-CONSTRUCTION-SCHEDULE</t>
        </is>
      </c>
    </row>
    <row r="17">
      <c r="A17" s="0" t="inlineStr">
        <is>
          <t xml:space="preserve">VG-002</t>
        </is>
      </c>
      <c r="B17" s="23">
        <v>4</v>
      </c>
      <c r="C17" s="11">
        <v>0.12</v>
      </c>
      <c r="D17" s="9">
        <v>3825000000</v>
      </c>
      <c r="E17" s="9">
        <v>3477272727.2727265</v>
      </c>
      <c r="F17" s="9">
        <v>347727272.7272731</v>
      </c>
      <c r="G17" s="9">
        <v>209360795.4545454</v>
      </c>
      <c r="H17" s="9">
        <v>11156250000</v>
      </c>
      <c r="I17" s="9">
        <v>694790482.9545454</v>
      </c>
      <c r="J17" s="9">
        <v>31875000000</v>
      </c>
      <c r="K17" s="9">
        <v>28977272727.272724</v>
      </c>
      <c r="L17" s="9">
        <v>2897727272.727276</v>
      </c>
      <c r="M17" s="11">
        <v>0.085</v>
      </c>
      <c r="N17" s="9">
        <v>33274843750</v>
      </c>
      <c r="O17" s="15" t="inlineStr">
        <is>
          <t xml:space="preserve">PASS</t>
        </is>
      </c>
      <c r="P17" s="0" t="inlineStr">
        <is>
          <t xml:space="preserve">ASM-CONSTRUCTION-SCHEDULE</t>
        </is>
      </c>
    </row>
    <row r="18">
      <c r="A18" s="0" t="inlineStr">
        <is>
          <t xml:space="preserve">VG-002</t>
        </is>
      </c>
      <c r="B18" s="23">
        <v>5</v>
      </c>
      <c r="C18" s="11">
        <v>0.14</v>
      </c>
      <c r="D18" s="9">
        <v>4462500000</v>
      </c>
      <c r="E18" s="9">
        <v>4056818181.818182</v>
      </c>
      <c r="F18" s="9">
        <v>405681818.18181866</v>
      </c>
      <c r="G18" s="9">
        <v>215518465.9090909</v>
      </c>
      <c r="H18" s="9">
        <v>15618750000</v>
      </c>
      <c r="I18" s="9">
        <v>910308948.8636363</v>
      </c>
      <c r="J18" s="9">
        <v>31875000000</v>
      </c>
      <c r="K18" s="9">
        <v>28977272727.272724</v>
      </c>
      <c r="L18" s="9">
        <v>2897727272.727276</v>
      </c>
      <c r="M18" s="11">
        <v>0.085</v>
      </c>
      <c r="N18" s="9">
        <v>33274843750</v>
      </c>
      <c r="O18" s="15" t="inlineStr">
        <is>
          <t xml:space="preserve">PASS</t>
        </is>
      </c>
      <c r="P18" s="0" t="inlineStr">
        <is>
          <t xml:space="preserve">ASM-CONSTRUCTION-SCHEDULE</t>
        </is>
      </c>
    </row>
    <row r="19">
      <c r="A19" s="0" t="inlineStr">
        <is>
          <t xml:space="preserve">VG-002</t>
        </is>
      </c>
      <c r="B19" s="23">
        <v>6</v>
      </c>
      <c r="C19" s="11">
        <v>0.14</v>
      </c>
      <c r="D19" s="9">
        <v>4462500000</v>
      </c>
      <c r="E19" s="9">
        <v>4056818181.818182</v>
      </c>
      <c r="F19" s="9">
        <v>405681818.18181866</v>
      </c>
      <c r="G19" s="9">
        <v>186782670.4545455</v>
      </c>
      <c r="H19" s="9">
        <v>20081250000</v>
      </c>
      <c r="I19" s="9">
        <v>1097091619.3181818</v>
      </c>
      <c r="J19" s="9">
        <v>31875000000</v>
      </c>
      <c r="K19" s="9">
        <v>28977272727.272724</v>
      </c>
      <c r="L19" s="9">
        <v>2897727272.727276</v>
      </c>
      <c r="M19" s="11">
        <v>0.085</v>
      </c>
      <c r="N19" s="9">
        <v>33274843750</v>
      </c>
      <c r="O19" s="15" t="inlineStr">
        <is>
          <t xml:space="preserve">PASS</t>
        </is>
      </c>
      <c r="P19" s="0" t="inlineStr">
        <is>
          <t xml:space="preserve">ASM-CONSTRUCTION-SCHEDULE</t>
        </is>
      </c>
    </row>
    <row r="20">
      <c r="A20" s="0" t="inlineStr">
        <is>
          <t xml:space="preserve">VG-002</t>
        </is>
      </c>
      <c r="B20" s="23">
        <v>7</v>
      </c>
      <c r="C20" s="11">
        <v>0.12</v>
      </c>
      <c r="D20" s="9">
        <v>3825000000</v>
      </c>
      <c r="E20" s="9">
        <v>3477272727.2727265</v>
      </c>
      <c r="F20" s="9">
        <v>347727272.7272731</v>
      </c>
      <c r="G20" s="9">
        <v>135468749.99999997</v>
      </c>
      <c r="H20" s="9">
        <v>23906250000</v>
      </c>
      <c r="I20" s="9">
        <v>1232560369.3181818</v>
      </c>
      <c r="J20" s="9">
        <v>31875000000</v>
      </c>
      <c r="K20" s="9">
        <v>28977272727.272724</v>
      </c>
      <c r="L20" s="9">
        <v>2897727272.727276</v>
      </c>
      <c r="M20" s="11">
        <v>0.085</v>
      </c>
      <c r="N20" s="9">
        <v>33274843750</v>
      </c>
      <c r="O20" s="15" t="inlineStr">
        <is>
          <t xml:space="preserve">PASS</t>
        </is>
      </c>
      <c r="P20" s="0" t="inlineStr">
        <is>
          <t xml:space="preserve">ASM-CONSTRUCTION-SCHEDULE</t>
        </is>
      </c>
    </row>
    <row r="21">
      <c r="A21" s="0" t="inlineStr">
        <is>
          <t xml:space="preserve">VG-002</t>
        </is>
      </c>
      <c r="B21" s="23">
        <v>8</v>
      </c>
      <c r="C21" s="11">
        <v>0.1</v>
      </c>
      <c r="D21" s="9">
        <v>3187500000</v>
      </c>
      <c r="E21" s="9">
        <v>2897727272.7272725</v>
      </c>
      <c r="F21" s="9">
        <v>289772727.2727276</v>
      </c>
      <c r="G21" s="9">
        <v>92365056.81818181</v>
      </c>
      <c r="H21" s="9">
        <v>27093750000</v>
      </c>
      <c r="I21" s="9">
        <v>1324925426.1363635</v>
      </c>
      <c r="J21" s="9">
        <v>31875000000</v>
      </c>
      <c r="K21" s="9">
        <v>28977272727.272724</v>
      </c>
      <c r="L21" s="9">
        <v>2897727272.727276</v>
      </c>
      <c r="M21" s="11">
        <v>0.085</v>
      </c>
      <c r="N21" s="9">
        <v>33274843750</v>
      </c>
      <c r="O21" s="15" t="inlineStr">
        <is>
          <t xml:space="preserve">PASS</t>
        </is>
      </c>
      <c r="P21" s="0" t="inlineStr">
        <is>
          <t xml:space="preserve">ASM-CONSTRUCTION-SCHEDULE</t>
        </is>
      </c>
    </row>
    <row r="22">
      <c r="A22" s="0" t="inlineStr">
        <is>
          <t xml:space="preserve">VG-002</t>
        </is>
      </c>
      <c r="B22" s="23">
        <v>9</v>
      </c>
      <c r="C22" s="11">
        <v>0.06</v>
      </c>
      <c r="D22" s="9">
        <v>1912500000</v>
      </c>
      <c r="E22" s="9">
        <v>1738636363.6363633</v>
      </c>
      <c r="F22" s="9">
        <v>173863636.36363655</v>
      </c>
      <c r="G22" s="9">
        <v>43103693.18181817</v>
      </c>
      <c r="H22" s="9">
        <v>29006250000</v>
      </c>
      <c r="I22" s="9">
        <v>1368029119.3181818</v>
      </c>
      <c r="J22" s="9">
        <v>31875000000</v>
      </c>
      <c r="K22" s="9">
        <v>28977272727.272724</v>
      </c>
      <c r="L22" s="9">
        <v>2897727272.727276</v>
      </c>
      <c r="M22" s="11">
        <v>0.085</v>
      </c>
      <c r="N22" s="9">
        <v>33274843750</v>
      </c>
      <c r="O22" s="15" t="inlineStr">
        <is>
          <t xml:space="preserve">PASS</t>
        </is>
      </c>
      <c r="P22" s="0" t="inlineStr">
        <is>
          <t xml:space="preserve">ASM-CONSTRUCTION-SCHEDULE</t>
        </is>
      </c>
    </row>
    <row r="23">
      <c r="A23" s="0" t="inlineStr">
        <is>
          <t xml:space="preserve">VG-002</t>
        </is>
      </c>
      <c r="B23" s="23">
        <v>10</v>
      </c>
      <c r="C23" s="11">
        <v>0.04</v>
      </c>
      <c r="D23" s="9">
        <v>1275000000</v>
      </c>
      <c r="E23" s="9">
        <v>1159090909.090909</v>
      </c>
      <c r="F23" s="9">
        <v>115909090.90909104</v>
      </c>
      <c r="G23" s="9">
        <v>20525568.18181818</v>
      </c>
      <c r="H23" s="9">
        <v>30281250000</v>
      </c>
      <c r="I23" s="9">
        <v>1388554687.5</v>
      </c>
      <c r="J23" s="9">
        <v>31875000000</v>
      </c>
      <c r="K23" s="9">
        <v>28977272727.272724</v>
      </c>
      <c r="L23" s="9">
        <v>2897727272.727276</v>
      </c>
      <c r="M23" s="11">
        <v>0.085</v>
      </c>
      <c r="N23" s="9">
        <v>33274843750</v>
      </c>
      <c r="O23" s="15" t="inlineStr">
        <is>
          <t xml:space="preserve">PASS</t>
        </is>
      </c>
      <c r="P23" s="0" t="inlineStr">
        <is>
          <t xml:space="preserve">ASM-CONSTRUCTION-SCHEDULE</t>
        </is>
      </c>
    </row>
    <row r="24">
      <c r="A24" s="0" t="inlineStr">
        <is>
          <t xml:space="preserve">VG-002</t>
        </is>
      </c>
      <c r="B24" s="23">
        <v>11</v>
      </c>
      <c r="C24" s="11">
        <v>0.03</v>
      </c>
      <c r="D24" s="9">
        <v>956250000</v>
      </c>
      <c r="E24" s="9">
        <v>869318181.8181816</v>
      </c>
      <c r="F24" s="9">
        <v>86931818.18181828</v>
      </c>
      <c r="G24" s="9">
        <v>9236505.68181818</v>
      </c>
      <c r="H24" s="9">
        <v>31237500000</v>
      </c>
      <c r="I24" s="9">
        <v>1397791193.1818182</v>
      </c>
      <c r="J24" s="9">
        <v>31875000000</v>
      </c>
      <c r="K24" s="9">
        <v>28977272727.272724</v>
      </c>
      <c r="L24" s="9">
        <v>2897727272.727276</v>
      </c>
      <c r="M24" s="11">
        <v>0.085</v>
      </c>
      <c r="N24" s="9">
        <v>33274843750</v>
      </c>
      <c r="O24" s="15" t="inlineStr">
        <is>
          <t xml:space="preserve">PASS</t>
        </is>
      </c>
      <c r="P24" s="0" t="inlineStr">
        <is>
          <t xml:space="preserve">ASM-CONSTRUCTION-SCHEDULE</t>
        </is>
      </c>
    </row>
    <row r="25">
      <c r="A25" s="0" t="inlineStr">
        <is>
          <t xml:space="preserve">VG-002</t>
        </is>
      </c>
      <c r="B25" s="23">
        <v>12</v>
      </c>
      <c r="C25" s="11">
        <v>0.02</v>
      </c>
      <c r="D25" s="9">
        <v>637500000</v>
      </c>
      <c r="E25" s="9">
        <v>579545454.5454545</v>
      </c>
      <c r="F25" s="9">
        <v>57954545.45454552</v>
      </c>
      <c r="G25" s="9">
        <v>2052556.8181818181</v>
      </c>
      <c r="H25" s="9">
        <v>31875000000</v>
      </c>
      <c r="I25" s="9">
        <v>1399843750</v>
      </c>
      <c r="J25" s="9">
        <v>31875000000</v>
      </c>
      <c r="K25" s="9">
        <v>28977272727.272724</v>
      </c>
      <c r="L25" s="9">
        <v>2897727272.727276</v>
      </c>
      <c r="M25" s="11">
        <v>0.085</v>
      </c>
      <c r="N25" s="9">
        <v>33274843750</v>
      </c>
      <c r="O25" s="15" t="inlineStr">
        <is>
          <t xml:space="preserve">PASS</t>
        </is>
      </c>
      <c r="P25" s="0" t="inlineStr">
        <is>
          <t xml:space="preserve">ASM-CONSTRUCTION-SCHEDULE</t>
        </is>
      </c>
    </row>
    <row r="26">
      <c r="A26" s="0" t="inlineStr">
        <is>
          <t xml:space="preserve">VG-003</t>
        </is>
      </c>
      <c r="B26" s="23">
        <v>1</v>
      </c>
      <c r="C26" s="11">
        <v>0.05</v>
      </c>
      <c r="D26" s="9">
        <v>1168750000</v>
      </c>
      <c r="E26" s="9">
        <v>1062500000</v>
      </c>
      <c r="F26" s="9">
        <v>106250000.00000007</v>
      </c>
      <c r="G26" s="9">
        <v>86549479.16666667</v>
      </c>
      <c r="H26" s="9">
        <v>1168750000</v>
      </c>
      <c r="I26" s="9">
        <v>86549479.16666667</v>
      </c>
      <c r="J26" s="9">
        <v>23375000000</v>
      </c>
      <c r="K26" s="9">
        <v>21250000000</v>
      </c>
      <c r="L26" s="9">
        <v>2125000000.0000014</v>
      </c>
      <c r="M26" s="11">
        <v>0.085</v>
      </c>
      <c r="N26" s="9">
        <v>24401552083.333332</v>
      </c>
      <c r="O26" s="15" t="inlineStr">
        <is>
          <t xml:space="preserve">PASS</t>
        </is>
      </c>
      <c r="P26" s="0" t="inlineStr">
        <is>
          <t xml:space="preserve">ASM-CONSTRUCTION-SCHEDULE</t>
        </is>
      </c>
    </row>
    <row r="27">
      <c r="A27" s="0" t="inlineStr">
        <is>
          <t xml:space="preserve">VG-003</t>
        </is>
      </c>
      <c r="B27" s="23">
        <v>2</v>
      </c>
      <c r="C27" s="11">
        <v>0.08</v>
      </c>
      <c r="D27" s="9">
        <v>1870000000</v>
      </c>
      <c r="E27" s="9">
        <v>1700000000</v>
      </c>
      <c r="F27" s="9">
        <v>170000000.00000012</v>
      </c>
      <c r="G27" s="9">
        <v>126437500</v>
      </c>
      <c r="H27" s="9">
        <v>3038750000</v>
      </c>
      <c r="I27" s="9">
        <v>212986979.1666667</v>
      </c>
      <c r="J27" s="9">
        <v>23375000000</v>
      </c>
      <c r="K27" s="9">
        <v>21250000000</v>
      </c>
      <c r="L27" s="9">
        <v>2125000000.0000014</v>
      </c>
      <c r="M27" s="11">
        <v>0.085</v>
      </c>
      <c r="N27" s="9">
        <v>24401552083.333332</v>
      </c>
      <c r="O27" s="15" t="inlineStr">
        <is>
          <t xml:space="preserve">PASS</t>
        </is>
      </c>
      <c r="P27" s="0" t="inlineStr">
        <is>
          <t xml:space="preserve">ASM-CONSTRUCTION-SCHEDULE</t>
        </is>
      </c>
    </row>
    <row r="28">
      <c r="A28" s="0" t="inlineStr">
        <is>
          <t xml:space="preserve">VG-003</t>
        </is>
      </c>
      <c r="B28" s="23">
        <v>3</v>
      </c>
      <c r="C28" s="11">
        <v>0.1</v>
      </c>
      <c r="D28" s="9">
        <v>2337500000</v>
      </c>
      <c r="E28" s="9">
        <v>2125000000</v>
      </c>
      <c r="F28" s="9">
        <v>212500000.00000015</v>
      </c>
      <c r="G28" s="9">
        <v>142994791.66666666</v>
      </c>
      <c r="H28" s="9">
        <v>5376250000</v>
      </c>
      <c r="I28" s="9">
        <v>355981770.8333334</v>
      </c>
      <c r="J28" s="9">
        <v>23375000000</v>
      </c>
      <c r="K28" s="9">
        <v>21250000000</v>
      </c>
      <c r="L28" s="9">
        <v>2125000000.0000014</v>
      </c>
      <c r="M28" s="11">
        <v>0.085</v>
      </c>
      <c r="N28" s="9">
        <v>24401552083.333332</v>
      </c>
      <c r="O28" s="15" t="inlineStr">
        <is>
          <t xml:space="preserve">PASS</t>
        </is>
      </c>
      <c r="P28" s="0" t="inlineStr">
        <is>
          <t xml:space="preserve">ASM-CONSTRUCTION-SCHEDULE</t>
        </is>
      </c>
    </row>
    <row r="29">
      <c r="A29" s="0" t="inlineStr">
        <is>
          <t xml:space="preserve">VG-003</t>
        </is>
      </c>
      <c r="B29" s="23">
        <v>4</v>
      </c>
      <c r="C29" s="11">
        <v>0.12</v>
      </c>
      <c r="D29" s="9">
        <v>2805000000</v>
      </c>
      <c r="E29" s="9">
        <v>2550000000</v>
      </c>
      <c r="F29" s="9">
        <v>255000000.00000015</v>
      </c>
      <c r="G29" s="9">
        <v>153531250.00000003</v>
      </c>
      <c r="H29" s="9">
        <v>8181250000</v>
      </c>
      <c r="I29" s="9">
        <v>509513020.8333334</v>
      </c>
      <c r="J29" s="9">
        <v>23375000000</v>
      </c>
      <c r="K29" s="9">
        <v>21250000000</v>
      </c>
      <c r="L29" s="9">
        <v>2125000000.0000014</v>
      </c>
      <c r="M29" s="11">
        <v>0.085</v>
      </c>
      <c r="N29" s="9">
        <v>24401552083.333332</v>
      </c>
      <c r="O29" s="15" t="inlineStr">
        <is>
          <t xml:space="preserve">PASS</t>
        </is>
      </c>
      <c r="P29" s="0" t="inlineStr">
        <is>
          <t xml:space="preserve">ASM-CONSTRUCTION-SCHEDULE</t>
        </is>
      </c>
    </row>
    <row r="30">
      <c r="A30" s="0" t="inlineStr">
        <is>
          <t xml:space="preserve">VG-003</t>
        </is>
      </c>
      <c r="B30" s="23">
        <v>5</v>
      </c>
      <c r="C30" s="11">
        <v>0.14</v>
      </c>
      <c r="D30" s="9">
        <v>3272500000.0000005</v>
      </c>
      <c r="E30" s="9">
        <v>2975000000.0000005</v>
      </c>
      <c r="F30" s="9">
        <v>297500000.00000024</v>
      </c>
      <c r="G30" s="9">
        <v>158046875.00000003</v>
      </c>
      <c r="H30" s="9">
        <v>11453750000</v>
      </c>
      <c r="I30" s="9">
        <v>667559895.8333334</v>
      </c>
      <c r="J30" s="9">
        <v>23375000000</v>
      </c>
      <c r="K30" s="9">
        <v>21250000000</v>
      </c>
      <c r="L30" s="9">
        <v>2125000000.0000014</v>
      </c>
      <c r="M30" s="11">
        <v>0.085</v>
      </c>
      <c r="N30" s="9">
        <v>24401552083.333332</v>
      </c>
      <c r="O30" s="15" t="inlineStr">
        <is>
          <t xml:space="preserve">PASS</t>
        </is>
      </c>
      <c r="P30" s="0" t="inlineStr">
        <is>
          <t xml:space="preserve">ASM-CONSTRUCTION-SCHEDULE</t>
        </is>
      </c>
    </row>
    <row r="31">
      <c r="A31" s="0" t="inlineStr">
        <is>
          <t xml:space="preserve">VG-003</t>
        </is>
      </c>
      <c r="B31" s="23">
        <v>6</v>
      </c>
      <c r="C31" s="11">
        <v>0.14</v>
      </c>
      <c r="D31" s="9">
        <v>3272500000.0000005</v>
      </c>
      <c r="E31" s="9">
        <v>2975000000.0000005</v>
      </c>
      <c r="F31" s="9">
        <v>297500000.00000024</v>
      </c>
      <c r="G31" s="9">
        <v>136973958.33333337</v>
      </c>
      <c r="H31" s="9">
        <v>14726250000</v>
      </c>
      <c r="I31" s="9">
        <v>804533854.1666667</v>
      </c>
      <c r="J31" s="9">
        <v>23375000000</v>
      </c>
      <c r="K31" s="9">
        <v>21250000000</v>
      </c>
      <c r="L31" s="9">
        <v>2125000000.0000014</v>
      </c>
      <c r="M31" s="11">
        <v>0.085</v>
      </c>
      <c r="N31" s="9">
        <v>24401552083.333332</v>
      </c>
      <c r="O31" s="15" t="inlineStr">
        <is>
          <t xml:space="preserve">PASS</t>
        </is>
      </c>
      <c r="P31" s="0" t="inlineStr">
        <is>
          <t xml:space="preserve">ASM-CONSTRUCTION-SCHEDULE</t>
        </is>
      </c>
    </row>
    <row r="32">
      <c r="A32" s="0" t="inlineStr">
        <is>
          <t xml:space="preserve">VG-003</t>
        </is>
      </c>
      <c r="B32" s="23">
        <v>7</v>
      </c>
      <c r="C32" s="11">
        <v>0.12</v>
      </c>
      <c r="D32" s="9">
        <v>2805000000</v>
      </c>
      <c r="E32" s="9">
        <v>2550000000</v>
      </c>
      <c r="F32" s="9">
        <v>255000000.00000015</v>
      </c>
      <c r="G32" s="9">
        <v>99343750.00000001</v>
      </c>
      <c r="H32" s="9">
        <v>17531250000</v>
      </c>
      <c r="I32" s="9">
        <v>903877604.1666667</v>
      </c>
      <c r="J32" s="9">
        <v>23375000000</v>
      </c>
      <c r="K32" s="9">
        <v>21250000000</v>
      </c>
      <c r="L32" s="9">
        <v>2125000000.0000014</v>
      </c>
      <c r="M32" s="11">
        <v>0.085</v>
      </c>
      <c r="N32" s="9">
        <v>24401552083.333332</v>
      </c>
      <c r="O32" s="15" t="inlineStr">
        <is>
          <t xml:space="preserve">PASS</t>
        </is>
      </c>
      <c r="P32" s="0" t="inlineStr">
        <is>
          <t xml:space="preserve">ASM-CONSTRUCTION-SCHEDULE</t>
        </is>
      </c>
    </row>
    <row r="33">
      <c r="A33" s="0" t="inlineStr">
        <is>
          <t xml:space="preserve">VG-003</t>
        </is>
      </c>
      <c r="B33" s="23">
        <v>8</v>
      </c>
      <c r="C33" s="11">
        <v>0.1</v>
      </c>
      <c r="D33" s="9">
        <v>2337500000</v>
      </c>
      <c r="E33" s="9">
        <v>2125000000</v>
      </c>
      <c r="F33" s="9">
        <v>212500000.00000015</v>
      </c>
      <c r="G33" s="9">
        <v>67734375</v>
      </c>
      <c r="H33" s="9">
        <v>19868750000</v>
      </c>
      <c r="I33" s="9">
        <v>971611979.1666667</v>
      </c>
      <c r="J33" s="9">
        <v>23375000000</v>
      </c>
      <c r="K33" s="9">
        <v>21250000000</v>
      </c>
      <c r="L33" s="9">
        <v>2125000000.0000014</v>
      </c>
      <c r="M33" s="11">
        <v>0.085</v>
      </c>
      <c r="N33" s="9">
        <v>24401552083.333332</v>
      </c>
      <c r="O33" s="15" t="inlineStr">
        <is>
          <t xml:space="preserve">PASS</t>
        </is>
      </c>
      <c r="P33" s="0" t="inlineStr">
        <is>
          <t xml:space="preserve">ASM-CONSTRUCTION-SCHEDULE</t>
        </is>
      </c>
    </row>
    <row r="34">
      <c r="A34" s="0" t="inlineStr">
        <is>
          <t xml:space="preserve">VG-003</t>
        </is>
      </c>
      <c r="B34" s="23">
        <v>9</v>
      </c>
      <c r="C34" s="11">
        <v>0.06</v>
      </c>
      <c r="D34" s="9">
        <v>1402500000</v>
      </c>
      <c r="E34" s="9">
        <v>1275000000</v>
      </c>
      <c r="F34" s="9">
        <v>127500000.00000007</v>
      </c>
      <c r="G34" s="9">
        <v>31609375.000000004</v>
      </c>
      <c r="H34" s="9">
        <v>21271250000</v>
      </c>
      <c r="I34" s="9">
        <v>1003221354.1666667</v>
      </c>
      <c r="J34" s="9">
        <v>23375000000</v>
      </c>
      <c r="K34" s="9">
        <v>21250000000</v>
      </c>
      <c r="L34" s="9">
        <v>2125000000.0000014</v>
      </c>
      <c r="M34" s="11">
        <v>0.085</v>
      </c>
      <c r="N34" s="9">
        <v>24401552083.333332</v>
      </c>
      <c r="O34" s="15" t="inlineStr">
        <is>
          <t xml:space="preserve">PASS</t>
        </is>
      </c>
      <c r="P34" s="0" t="inlineStr">
        <is>
          <t xml:space="preserve">ASM-CONSTRUCTION-SCHEDULE</t>
        </is>
      </c>
    </row>
    <row r="35">
      <c r="A35" s="0" t="inlineStr">
        <is>
          <t xml:space="preserve">VG-003</t>
        </is>
      </c>
      <c r="B35" s="23">
        <v>10</v>
      </c>
      <c r="C35" s="11">
        <v>0.04</v>
      </c>
      <c r="D35" s="9">
        <v>935000000</v>
      </c>
      <c r="E35" s="9">
        <v>850000000</v>
      </c>
      <c r="F35" s="9">
        <v>85000000.00000006</v>
      </c>
      <c r="G35" s="9">
        <v>15052083.333333334</v>
      </c>
      <c r="H35" s="9">
        <v>22206250000</v>
      </c>
      <c r="I35" s="9">
        <v>1018273437.5000001</v>
      </c>
      <c r="J35" s="9">
        <v>23375000000</v>
      </c>
      <c r="K35" s="9">
        <v>21250000000</v>
      </c>
      <c r="L35" s="9">
        <v>2125000000.0000014</v>
      </c>
      <c r="M35" s="11">
        <v>0.085</v>
      </c>
      <c r="N35" s="9">
        <v>24401552083.333332</v>
      </c>
      <c r="O35" s="15" t="inlineStr">
        <is>
          <t xml:space="preserve">PASS</t>
        </is>
      </c>
      <c r="P35" s="0" t="inlineStr">
        <is>
          <t xml:space="preserve">ASM-CONSTRUCTION-SCHEDULE</t>
        </is>
      </c>
    </row>
    <row r="36">
      <c r="A36" s="0" t="inlineStr">
        <is>
          <t xml:space="preserve">VG-003</t>
        </is>
      </c>
      <c r="B36" s="23">
        <v>11</v>
      </c>
      <c r="C36" s="11">
        <v>0.03</v>
      </c>
      <c r="D36" s="9">
        <v>701250000</v>
      </c>
      <c r="E36" s="9">
        <v>637500000</v>
      </c>
      <c r="F36" s="9">
        <v>63750000.00000004</v>
      </c>
      <c r="G36" s="9">
        <v>6773437.500000001</v>
      </c>
      <c r="H36" s="9">
        <v>22907500000</v>
      </c>
      <c r="I36" s="9">
        <v>1025046875.0000001</v>
      </c>
      <c r="J36" s="9">
        <v>23375000000</v>
      </c>
      <c r="K36" s="9">
        <v>21250000000</v>
      </c>
      <c r="L36" s="9">
        <v>2125000000.0000014</v>
      </c>
      <c r="M36" s="11">
        <v>0.085</v>
      </c>
      <c r="N36" s="9">
        <v>24401552083.333332</v>
      </c>
      <c r="O36" s="15" t="inlineStr">
        <is>
          <t xml:space="preserve">PASS</t>
        </is>
      </c>
      <c r="P36" s="0" t="inlineStr">
        <is>
          <t xml:space="preserve">ASM-CONSTRUCTION-SCHEDULE</t>
        </is>
      </c>
    </row>
    <row r="37">
      <c r="A37" s="0" t="inlineStr">
        <is>
          <t xml:space="preserve">VG-003</t>
        </is>
      </c>
      <c r="B37" s="23">
        <v>12</v>
      </c>
      <c r="C37" s="11">
        <v>0.02</v>
      </c>
      <c r="D37" s="9">
        <v>467500000</v>
      </c>
      <c r="E37" s="9">
        <v>425000000</v>
      </c>
      <c r="F37" s="9">
        <v>42500000.00000003</v>
      </c>
      <c r="G37" s="9">
        <v>1505208.3333333333</v>
      </c>
      <c r="H37" s="9">
        <v>23375000000</v>
      </c>
      <c r="I37" s="9">
        <v>1026552083.3333335</v>
      </c>
      <c r="J37" s="9">
        <v>23375000000</v>
      </c>
      <c r="K37" s="9">
        <v>21250000000</v>
      </c>
      <c r="L37" s="9">
        <v>2125000000.0000014</v>
      </c>
      <c r="M37" s="11">
        <v>0.085</v>
      </c>
      <c r="N37" s="9">
        <v>24401552083.333332</v>
      </c>
      <c r="O37" s="15" t="inlineStr">
        <is>
          <t xml:space="preserve">PASS</t>
        </is>
      </c>
      <c r="P37" s="0" t="inlineStr">
        <is>
          <t xml:space="preserve">ASM-CONSTRUCTION-SCHEDULE</t>
        </is>
      </c>
    </row>
    <row r="38">
      <c r="A38" s="0" t="inlineStr">
        <is>
          <t xml:space="preserve">VG-004</t>
        </is>
      </c>
      <c r="B38" s="23">
        <v>1</v>
      </c>
      <c r="C38" s="11">
        <v>0.05</v>
      </c>
      <c r="D38" s="9">
        <v>1540625000</v>
      </c>
      <c r="E38" s="9">
        <v>1400568181.818182</v>
      </c>
      <c r="F38" s="9">
        <v>140056818.18181825</v>
      </c>
      <c r="G38" s="9">
        <v>114087949.81060608</v>
      </c>
      <c r="H38" s="9">
        <v>1540625000</v>
      </c>
      <c r="I38" s="9">
        <v>114087949.81060608</v>
      </c>
      <c r="J38" s="9">
        <v>30812500000</v>
      </c>
      <c r="K38" s="9">
        <v>28011363636.363636</v>
      </c>
      <c r="L38" s="9">
        <v>2801136363.636365</v>
      </c>
      <c r="M38" s="11">
        <v>0.085</v>
      </c>
      <c r="N38" s="9">
        <v>32165682291.666668</v>
      </c>
      <c r="O38" s="15" t="inlineStr">
        <is>
          <t xml:space="preserve">PASS</t>
        </is>
      </c>
      <c r="P38" s="0" t="inlineStr">
        <is>
          <t xml:space="preserve">ASM-CONSTRUCTION-SCHEDULE</t>
        </is>
      </c>
    </row>
    <row r="39">
      <c r="A39" s="0" t="inlineStr">
        <is>
          <t xml:space="preserve">VG-004</t>
        </is>
      </c>
      <c r="B39" s="23">
        <v>2</v>
      </c>
      <c r="C39" s="11">
        <v>0.08</v>
      </c>
      <c r="D39" s="9">
        <v>2465000000</v>
      </c>
      <c r="E39" s="9">
        <v>2240909090.909091</v>
      </c>
      <c r="F39" s="9">
        <v>224090909.0909092</v>
      </c>
      <c r="G39" s="9">
        <v>166667613.63636366</v>
      </c>
      <c r="H39" s="9">
        <v>4005625000</v>
      </c>
      <c r="I39" s="9">
        <v>280755563.44696975</v>
      </c>
      <c r="J39" s="9">
        <v>30812500000</v>
      </c>
      <c r="K39" s="9">
        <v>28011363636.363636</v>
      </c>
      <c r="L39" s="9">
        <v>2801136363.636365</v>
      </c>
      <c r="M39" s="11">
        <v>0.085</v>
      </c>
      <c r="N39" s="9">
        <v>32165682291.666668</v>
      </c>
      <c r="O39" s="15" t="inlineStr">
        <is>
          <t xml:space="preserve">PASS</t>
        </is>
      </c>
      <c r="P39" s="0" t="inlineStr">
        <is>
          <t xml:space="preserve">ASM-CONSTRUCTION-SCHEDULE</t>
        </is>
      </c>
    </row>
    <row r="40">
      <c r="A40" s="0" t="inlineStr">
        <is>
          <t xml:space="preserve">VG-004</t>
        </is>
      </c>
      <c r="B40" s="23">
        <v>3</v>
      </c>
      <c r="C40" s="11">
        <v>0.1</v>
      </c>
      <c r="D40" s="9">
        <v>3081250000</v>
      </c>
      <c r="E40" s="9">
        <v>2801136363.636364</v>
      </c>
      <c r="F40" s="9">
        <v>280113636.3636365</v>
      </c>
      <c r="G40" s="9">
        <v>188493134.469697</v>
      </c>
      <c r="H40" s="9">
        <v>7086875000</v>
      </c>
      <c r="I40" s="9">
        <v>469248697.91666675</v>
      </c>
      <c r="J40" s="9">
        <v>30812500000</v>
      </c>
      <c r="K40" s="9">
        <v>28011363636.363636</v>
      </c>
      <c r="L40" s="9">
        <v>2801136363.636365</v>
      </c>
      <c r="M40" s="11">
        <v>0.085</v>
      </c>
      <c r="N40" s="9">
        <v>32165682291.666668</v>
      </c>
      <c r="O40" s="15" t="inlineStr">
        <is>
          <t xml:space="preserve">PASS</t>
        </is>
      </c>
      <c r="P40" s="0" t="inlineStr">
        <is>
          <t xml:space="preserve">ASM-CONSTRUCTION-SCHEDULE</t>
        </is>
      </c>
    </row>
    <row r="41">
      <c r="A41" s="0" t="inlineStr">
        <is>
          <t xml:space="preserve">VG-004</t>
        </is>
      </c>
      <c r="B41" s="23">
        <v>4</v>
      </c>
      <c r="C41" s="11">
        <v>0.12</v>
      </c>
      <c r="D41" s="9">
        <v>3697500000</v>
      </c>
      <c r="E41" s="9">
        <v>3361363636.363636</v>
      </c>
      <c r="F41" s="9">
        <v>336136363.6363638</v>
      </c>
      <c r="G41" s="9">
        <v>202382102.27272725</v>
      </c>
      <c r="H41" s="9">
        <v>10784375000</v>
      </c>
      <c r="I41" s="9">
        <v>671630800.189394</v>
      </c>
      <c r="J41" s="9">
        <v>30812500000</v>
      </c>
      <c r="K41" s="9">
        <v>28011363636.363636</v>
      </c>
      <c r="L41" s="9">
        <v>2801136363.636365</v>
      </c>
      <c r="M41" s="11">
        <v>0.085</v>
      </c>
      <c r="N41" s="9">
        <v>32165682291.666668</v>
      </c>
      <c r="O41" s="15" t="inlineStr">
        <is>
          <t xml:space="preserve">PASS</t>
        </is>
      </c>
      <c r="P41" s="0" t="inlineStr">
        <is>
          <t xml:space="preserve">ASM-CONSTRUCTION-SCHEDULE</t>
        </is>
      </c>
    </row>
    <row r="42">
      <c r="A42" s="0" t="inlineStr">
        <is>
          <t xml:space="preserve">VG-004</t>
        </is>
      </c>
      <c r="B42" s="23">
        <v>5</v>
      </c>
      <c r="C42" s="11">
        <v>0.14</v>
      </c>
      <c r="D42" s="9">
        <v>4313750000</v>
      </c>
      <c r="E42" s="9">
        <v>3921590909.0909095</v>
      </c>
      <c r="F42" s="9">
        <v>392159090.9090911</v>
      </c>
      <c r="G42" s="9">
        <v>208334517.0454546</v>
      </c>
      <c r="H42" s="9">
        <v>15098125000</v>
      </c>
      <c r="I42" s="9">
        <v>879965317.2348486</v>
      </c>
      <c r="J42" s="9">
        <v>30812500000</v>
      </c>
      <c r="K42" s="9">
        <v>28011363636.363636</v>
      </c>
      <c r="L42" s="9">
        <v>2801136363.636365</v>
      </c>
      <c r="M42" s="11">
        <v>0.085</v>
      </c>
      <c r="N42" s="9">
        <v>32165682291.666668</v>
      </c>
      <c r="O42" s="15" t="inlineStr">
        <is>
          <t xml:space="preserve">PASS</t>
        </is>
      </c>
      <c r="P42" s="0" t="inlineStr">
        <is>
          <t xml:space="preserve">ASM-CONSTRUCTION-SCHEDULE</t>
        </is>
      </c>
    </row>
    <row r="43">
      <c r="A43" s="0" t="inlineStr">
        <is>
          <t xml:space="preserve">VG-004</t>
        </is>
      </c>
      <c r="B43" s="23">
        <v>6</v>
      </c>
      <c r="C43" s="11">
        <v>0.14</v>
      </c>
      <c r="D43" s="9">
        <v>4313750000</v>
      </c>
      <c r="E43" s="9">
        <v>3921590909.0909095</v>
      </c>
      <c r="F43" s="9">
        <v>392159090.9090911</v>
      </c>
      <c r="G43" s="9">
        <v>180556581.43939397</v>
      </c>
      <c r="H43" s="9">
        <v>19411875000</v>
      </c>
      <c r="I43" s="9">
        <v>1060521898.6742426</v>
      </c>
      <c r="J43" s="9">
        <v>30812500000</v>
      </c>
      <c r="K43" s="9">
        <v>28011363636.363636</v>
      </c>
      <c r="L43" s="9">
        <v>2801136363.636365</v>
      </c>
      <c r="M43" s="11">
        <v>0.085</v>
      </c>
      <c r="N43" s="9">
        <v>32165682291.666668</v>
      </c>
      <c r="O43" s="15" t="inlineStr">
        <is>
          <t xml:space="preserve">PASS</t>
        </is>
      </c>
      <c r="P43" s="0" t="inlineStr">
        <is>
          <t xml:space="preserve">ASM-CONSTRUCTION-SCHEDULE</t>
        </is>
      </c>
    </row>
    <row r="44">
      <c r="A44" s="0" t="inlineStr">
        <is>
          <t xml:space="preserve">VG-004</t>
        </is>
      </c>
      <c r="B44" s="23">
        <v>7</v>
      </c>
      <c r="C44" s="11">
        <v>0.12</v>
      </c>
      <c r="D44" s="9">
        <v>3697500000</v>
      </c>
      <c r="E44" s="9">
        <v>3361363636.363636</v>
      </c>
      <c r="F44" s="9">
        <v>336136363.6363638</v>
      </c>
      <c r="G44" s="9">
        <v>130953124.99999999</v>
      </c>
      <c r="H44" s="9">
        <v>23109375000</v>
      </c>
      <c r="I44" s="9">
        <v>1191475023.6742425</v>
      </c>
      <c r="J44" s="9">
        <v>30812500000</v>
      </c>
      <c r="K44" s="9">
        <v>28011363636.363636</v>
      </c>
      <c r="L44" s="9">
        <v>2801136363.636365</v>
      </c>
      <c r="M44" s="11">
        <v>0.085</v>
      </c>
      <c r="N44" s="9">
        <v>32165682291.666668</v>
      </c>
      <c r="O44" s="15" t="inlineStr">
        <is>
          <t xml:space="preserve">PASS</t>
        </is>
      </c>
      <c r="P44" s="0" t="inlineStr">
        <is>
          <t xml:space="preserve">ASM-CONSTRUCTION-SCHEDULE</t>
        </is>
      </c>
    </row>
    <row r="45">
      <c r="A45" s="0" t="inlineStr">
        <is>
          <t xml:space="preserve">VG-004</t>
        </is>
      </c>
      <c r="B45" s="23">
        <v>8</v>
      </c>
      <c r="C45" s="11">
        <v>0.1</v>
      </c>
      <c r="D45" s="9">
        <v>3081250000</v>
      </c>
      <c r="E45" s="9">
        <v>2801136363.636364</v>
      </c>
      <c r="F45" s="9">
        <v>280113636.3636365</v>
      </c>
      <c r="G45" s="9">
        <v>89286221.59090911</v>
      </c>
      <c r="H45" s="9">
        <v>26190625000</v>
      </c>
      <c r="I45" s="9">
        <v>1280761245.2651515</v>
      </c>
      <c r="J45" s="9">
        <v>30812500000</v>
      </c>
      <c r="K45" s="9">
        <v>28011363636.363636</v>
      </c>
      <c r="L45" s="9">
        <v>2801136363.636365</v>
      </c>
      <c r="M45" s="11">
        <v>0.085</v>
      </c>
      <c r="N45" s="9">
        <v>32165682291.666668</v>
      </c>
      <c r="O45" s="15" t="inlineStr">
        <is>
          <t xml:space="preserve">PASS</t>
        </is>
      </c>
      <c r="P45" s="0" t="inlineStr">
        <is>
          <t xml:space="preserve">ASM-CONSTRUCTION-SCHEDULE</t>
        </is>
      </c>
    </row>
    <row r="46">
      <c r="A46" s="0" t="inlineStr">
        <is>
          <t xml:space="preserve">VG-004</t>
        </is>
      </c>
      <c r="B46" s="23">
        <v>9</v>
      </c>
      <c r="C46" s="11">
        <v>0.06</v>
      </c>
      <c r="D46" s="9">
        <v>1848750000</v>
      </c>
      <c r="E46" s="9">
        <v>1680681818.181818</v>
      </c>
      <c r="F46" s="9">
        <v>168068181.8181819</v>
      </c>
      <c r="G46" s="9">
        <v>41666903.40909091</v>
      </c>
      <c r="H46" s="9">
        <v>28039375000</v>
      </c>
      <c r="I46" s="9">
        <v>1322428148.6742425</v>
      </c>
      <c r="J46" s="9">
        <v>30812500000</v>
      </c>
      <c r="K46" s="9">
        <v>28011363636.363636</v>
      </c>
      <c r="L46" s="9">
        <v>2801136363.636365</v>
      </c>
      <c r="M46" s="11">
        <v>0.085</v>
      </c>
      <c r="N46" s="9">
        <v>32165682291.666668</v>
      </c>
      <c r="O46" s="15" t="inlineStr">
        <is>
          <t xml:space="preserve">PASS</t>
        </is>
      </c>
      <c r="P46" s="0" t="inlineStr">
        <is>
          <t xml:space="preserve">ASM-CONSTRUCTION-SCHEDULE</t>
        </is>
      </c>
    </row>
    <row r="47">
      <c r="A47" s="0" t="inlineStr">
        <is>
          <t xml:space="preserve">VG-004</t>
        </is>
      </c>
      <c r="B47" s="23">
        <v>10</v>
      </c>
      <c r="C47" s="11">
        <v>0.04</v>
      </c>
      <c r="D47" s="9">
        <v>1232500000</v>
      </c>
      <c r="E47" s="9">
        <v>1120454545.4545455</v>
      </c>
      <c r="F47" s="9">
        <v>112045454.5454546</v>
      </c>
      <c r="G47" s="9">
        <v>19841382.575757578</v>
      </c>
      <c r="H47" s="9">
        <v>29271875000</v>
      </c>
      <c r="I47" s="9">
        <v>1342269531.25</v>
      </c>
      <c r="J47" s="9">
        <v>30812500000</v>
      </c>
      <c r="K47" s="9">
        <v>28011363636.363636</v>
      </c>
      <c r="L47" s="9">
        <v>2801136363.636365</v>
      </c>
      <c r="M47" s="11">
        <v>0.085</v>
      </c>
      <c r="N47" s="9">
        <v>32165682291.666668</v>
      </c>
      <c r="O47" s="15" t="inlineStr">
        <is>
          <t xml:space="preserve">PASS</t>
        </is>
      </c>
      <c r="P47" s="0" t="inlineStr">
        <is>
          <t xml:space="preserve">ASM-CONSTRUCTION-SCHEDULE</t>
        </is>
      </c>
    </row>
    <row r="48">
      <c r="A48" s="0" t="inlineStr">
        <is>
          <t xml:space="preserve">VG-004</t>
        </is>
      </c>
      <c r="B48" s="23">
        <v>11</v>
      </c>
      <c r="C48" s="11">
        <v>0.03</v>
      </c>
      <c r="D48" s="9">
        <v>924375000</v>
      </c>
      <c r="E48" s="9">
        <v>840340909.090909</v>
      </c>
      <c r="F48" s="9">
        <v>84034090.90909095</v>
      </c>
      <c r="G48" s="9">
        <v>8928622.159090908</v>
      </c>
      <c r="H48" s="9">
        <v>30196250000</v>
      </c>
      <c r="I48" s="9">
        <v>1351198153.409091</v>
      </c>
      <c r="J48" s="9">
        <v>30812500000</v>
      </c>
      <c r="K48" s="9">
        <v>28011363636.363636</v>
      </c>
      <c r="L48" s="9">
        <v>2801136363.636365</v>
      </c>
      <c r="M48" s="11">
        <v>0.085</v>
      </c>
      <c r="N48" s="9">
        <v>32165682291.666668</v>
      </c>
      <c r="O48" s="15" t="inlineStr">
        <is>
          <t xml:space="preserve">PASS</t>
        </is>
      </c>
      <c r="P48" s="0" t="inlineStr">
        <is>
          <t xml:space="preserve">ASM-CONSTRUCTION-SCHEDULE</t>
        </is>
      </c>
    </row>
    <row r="49">
      <c r="A49" s="0" t="inlineStr">
        <is>
          <t xml:space="preserve">VG-004</t>
        </is>
      </c>
      <c r="B49" s="23">
        <v>12</v>
      </c>
      <c r="C49" s="11">
        <v>0.02</v>
      </c>
      <c r="D49" s="9">
        <v>616250000</v>
      </c>
      <c r="E49" s="9">
        <v>560227272.7272727</v>
      </c>
      <c r="F49" s="9">
        <v>56022727.2727273</v>
      </c>
      <c r="G49" s="9">
        <v>1984138.2575757578</v>
      </c>
      <c r="H49" s="9">
        <v>30812500000</v>
      </c>
      <c r="I49" s="9">
        <v>1353182291.6666667</v>
      </c>
      <c r="J49" s="9">
        <v>30812500000</v>
      </c>
      <c r="K49" s="9">
        <v>28011363636.363636</v>
      </c>
      <c r="L49" s="9">
        <v>2801136363.636365</v>
      </c>
      <c r="M49" s="11">
        <v>0.085</v>
      </c>
      <c r="N49" s="9">
        <v>32165682291.666668</v>
      </c>
      <c r="O49" s="15" t="inlineStr">
        <is>
          <t xml:space="preserve">PASS</t>
        </is>
      </c>
      <c r="P49" s="0" t="inlineStr">
        <is>
          <t xml:space="preserve">ASM-CONSTRUCTION-SCHEDULE</t>
        </is>
      </c>
    </row>
    <row r="50">
      <c r="A50" s="0" t="inlineStr">
        <is>
          <t xml:space="preserve">VG-005</t>
        </is>
      </c>
      <c r="B50" s="23">
        <v>1</v>
      </c>
      <c r="C50" s="11">
        <v>0.05</v>
      </c>
      <c r="D50" s="9">
        <v>1275000000</v>
      </c>
      <c r="E50" s="9">
        <v>1159090909.090909</v>
      </c>
      <c r="F50" s="9">
        <v>115909090.90909106</v>
      </c>
      <c r="G50" s="9">
        <v>94417613.63636363</v>
      </c>
      <c r="H50" s="9">
        <v>1275000000</v>
      </c>
      <c r="I50" s="9">
        <v>94417613.63636363</v>
      </c>
      <c r="J50" s="9">
        <v>25500000000</v>
      </c>
      <c r="K50" s="9">
        <v>23181818181.81818</v>
      </c>
      <c r="L50" s="9">
        <v>2318181818.181821</v>
      </c>
      <c r="M50" s="11">
        <v>0.085</v>
      </c>
      <c r="N50" s="9">
        <v>26619875000</v>
      </c>
      <c r="O50" s="15" t="inlineStr">
        <is>
          <t xml:space="preserve">PASS</t>
        </is>
      </c>
      <c r="P50" s="0" t="inlineStr">
        <is>
          <t xml:space="preserve">ASM-CONSTRUCTION-SCHEDULE</t>
        </is>
      </c>
    </row>
    <row r="51">
      <c r="A51" s="0" t="inlineStr">
        <is>
          <t xml:space="preserve">VG-005</t>
        </is>
      </c>
      <c r="B51" s="23">
        <v>2</v>
      </c>
      <c r="C51" s="11">
        <v>0.08</v>
      </c>
      <c r="D51" s="9">
        <v>2040000000</v>
      </c>
      <c r="E51" s="9">
        <v>1854545454.5454545</v>
      </c>
      <c r="F51" s="9">
        <v>185454545.45454568</v>
      </c>
      <c r="G51" s="9">
        <v>137931818.18181822</v>
      </c>
      <c r="H51" s="9">
        <v>3315000000</v>
      </c>
      <c r="I51" s="9">
        <v>232349431.81818184</v>
      </c>
      <c r="J51" s="9">
        <v>25500000000</v>
      </c>
      <c r="K51" s="9">
        <v>23181818181.81818</v>
      </c>
      <c r="L51" s="9">
        <v>2318181818.181821</v>
      </c>
      <c r="M51" s="11">
        <v>0.085</v>
      </c>
      <c r="N51" s="9">
        <v>26619875000</v>
      </c>
      <c r="O51" s="15" t="inlineStr">
        <is>
          <t xml:space="preserve">PASS</t>
        </is>
      </c>
      <c r="P51" s="0" t="inlineStr">
        <is>
          <t xml:space="preserve">ASM-CONSTRUCTION-SCHEDULE</t>
        </is>
      </c>
    </row>
    <row r="52">
      <c r="A52" s="0" t="inlineStr">
        <is>
          <t xml:space="preserve">VG-005</t>
        </is>
      </c>
      <c r="B52" s="23">
        <v>3</v>
      </c>
      <c r="C52" s="11">
        <v>0.1</v>
      </c>
      <c r="D52" s="9">
        <v>2550000000</v>
      </c>
      <c r="E52" s="9">
        <v>2318181818.181818</v>
      </c>
      <c r="F52" s="9">
        <v>231818181.8181821</v>
      </c>
      <c r="G52" s="9">
        <v>155994318.18181816</v>
      </c>
      <c r="H52" s="9">
        <v>5865000000</v>
      </c>
      <c r="I52" s="9">
        <v>388343750</v>
      </c>
      <c r="J52" s="9">
        <v>25500000000</v>
      </c>
      <c r="K52" s="9">
        <v>23181818181.81818</v>
      </c>
      <c r="L52" s="9">
        <v>2318181818.181821</v>
      </c>
      <c r="M52" s="11">
        <v>0.085</v>
      </c>
      <c r="N52" s="9">
        <v>26619875000</v>
      </c>
      <c r="O52" s="15" t="inlineStr">
        <is>
          <t xml:space="preserve">PASS</t>
        </is>
      </c>
      <c r="P52" s="0" t="inlineStr">
        <is>
          <t xml:space="preserve">ASM-CONSTRUCTION-SCHEDULE</t>
        </is>
      </c>
    </row>
    <row r="53">
      <c r="A53" s="0" t="inlineStr">
        <is>
          <t xml:space="preserve">VG-005</t>
        </is>
      </c>
      <c r="B53" s="23">
        <v>4</v>
      </c>
      <c r="C53" s="11">
        <v>0.12</v>
      </c>
      <c r="D53" s="9">
        <v>3060000000</v>
      </c>
      <c r="E53" s="9">
        <v>2781818181.8181815</v>
      </c>
      <c r="F53" s="9">
        <v>278181818.1818185</v>
      </c>
      <c r="G53" s="9">
        <v>167488636.36363634</v>
      </c>
      <c r="H53" s="9">
        <v>8925000000</v>
      </c>
      <c r="I53" s="9">
        <v>555832386.3636364</v>
      </c>
      <c r="J53" s="9">
        <v>25500000000</v>
      </c>
      <c r="K53" s="9">
        <v>23181818181.81818</v>
      </c>
      <c r="L53" s="9">
        <v>2318181818.181821</v>
      </c>
      <c r="M53" s="11">
        <v>0.085</v>
      </c>
      <c r="N53" s="9">
        <v>26619875000</v>
      </c>
      <c r="O53" s="15" t="inlineStr">
        <is>
          <t xml:space="preserve">PASS</t>
        </is>
      </c>
      <c r="P53" s="0" t="inlineStr">
        <is>
          <t xml:space="preserve">ASM-CONSTRUCTION-SCHEDULE</t>
        </is>
      </c>
    </row>
    <row r="54">
      <c r="A54" s="0" t="inlineStr">
        <is>
          <t xml:space="preserve">VG-005</t>
        </is>
      </c>
      <c r="B54" s="23">
        <v>5</v>
      </c>
      <c r="C54" s="11">
        <v>0.14</v>
      </c>
      <c r="D54" s="9">
        <v>3570000000.0000005</v>
      </c>
      <c r="E54" s="9">
        <v>3245454545.4545455</v>
      </c>
      <c r="F54" s="9">
        <v>324545454.545455</v>
      </c>
      <c r="G54" s="9">
        <v>172414772.72727272</v>
      </c>
      <c r="H54" s="9">
        <v>12495000000</v>
      </c>
      <c r="I54" s="9">
        <v>728247159.0909091</v>
      </c>
      <c r="J54" s="9">
        <v>25500000000</v>
      </c>
      <c r="K54" s="9">
        <v>23181818181.81818</v>
      </c>
      <c r="L54" s="9">
        <v>2318181818.181821</v>
      </c>
      <c r="M54" s="11">
        <v>0.085</v>
      </c>
      <c r="N54" s="9">
        <v>26619875000</v>
      </c>
      <c r="O54" s="15" t="inlineStr">
        <is>
          <t xml:space="preserve">PASS</t>
        </is>
      </c>
      <c r="P54" s="0" t="inlineStr">
        <is>
          <t xml:space="preserve">ASM-CONSTRUCTION-SCHEDULE</t>
        </is>
      </c>
    </row>
    <row r="55">
      <c r="A55" s="0" t="inlineStr">
        <is>
          <t xml:space="preserve">VG-005</t>
        </is>
      </c>
      <c r="B55" s="23">
        <v>6</v>
      </c>
      <c r="C55" s="11">
        <v>0.14</v>
      </c>
      <c r="D55" s="9">
        <v>3570000000.0000005</v>
      </c>
      <c r="E55" s="9">
        <v>3245454545.4545455</v>
      </c>
      <c r="F55" s="9">
        <v>324545454.545455</v>
      </c>
      <c r="G55" s="9">
        <v>149426136.36363637</v>
      </c>
      <c r="H55" s="9">
        <v>16065000000</v>
      </c>
      <c r="I55" s="9">
        <v>877673295.4545455</v>
      </c>
      <c r="J55" s="9">
        <v>25500000000</v>
      </c>
      <c r="K55" s="9">
        <v>23181818181.81818</v>
      </c>
      <c r="L55" s="9">
        <v>2318181818.181821</v>
      </c>
      <c r="M55" s="11">
        <v>0.085</v>
      </c>
      <c r="N55" s="9">
        <v>26619875000</v>
      </c>
      <c r="O55" s="15" t="inlineStr">
        <is>
          <t xml:space="preserve">PASS</t>
        </is>
      </c>
      <c r="P55" s="0" t="inlineStr">
        <is>
          <t xml:space="preserve">ASM-CONSTRUCTION-SCHEDULE</t>
        </is>
      </c>
    </row>
    <row r="56">
      <c r="A56" s="0" t="inlineStr">
        <is>
          <t xml:space="preserve">VG-005</t>
        </is>
      </c>
      <c r="B56" s="23">
        <v>7</v>
      </c>
      <c r="C56" s="11">
        <v>0.12</v>
      </c>
      <c r="D56" s="9">
        <v>3060000000</v>
      </c>
      <c r="E56" s="9">
        <v>2781818181.8181815</v>
      </c>
      <c r="F56" s="9">
        <v>278181818.1818185</v>
      </c>
      <c r="G56" s="9">
        <v>108375000</v>
      </c>
      <c r="H56" s="9">
        <v>19125000000</v>
      </c>
      <c r="I56" s="9">
        <v>986048295.4545455</v>
      </c>
      <c r="J56" s="9">
        <v>25500000000</v>
      </c>
      <c r="K56" s="9">
        <v>23181818181.81818</v>
      </c>
      <c r="L56" s="9">
        <v>2318181818.181821</v>
      </c>
      <c r="M56" s="11">
        <v>0.085</v>
      </c>
      <c r="N56" s="9">
        <v>26619875000</v>
      </c>
      <c r="O56" s="15" t="inlineStr">
        <is>
          <t xml:space="preserve">PASS</t>
        </is>
      </c>
      <c r="P56" s="0" t="inlineStr">
        <is>
          <t xml:space="preserve">ASM-CONSTRUCTION-SCHEDULE</t>
        </is>
      </c>
    </row>
    <row r="57">
      <c r="A57" s="0" t="inlineStr">
        <is>
          <t xml:space="preserve">VG-005</t>
        </is>
      </c>
      <c r="B57" s="23">
        <v>8</v>
      </c>
      <c r="C57" s="11">
        <v>0.1</v>
      </c>
      <c r="D57" s="9">
        <v>2550000000</v>
      </c>
      <c r="E57" s="9">
        <v>2318181818.181818</v>
      </c>
      <c r="F57" s="9">
        <v>231818181.8181821</v>
      </c>
      <c r="G57" s="9">
        <v>73892045.45454545</v>
      </c>
      <c r="H57" s="9">
        <v>21675000000</v>
      </c>
      <c r="I57" s="9">
        <v>1059940340.909091</v>
      </c>
      <c r="J57" s="9">
        <v>25500000000</v>
      </c>
      <c r="K57" s="9">
        <v>23181818181.81818</v>
      </c>
      <c r="L57" s="9">
        <v>2318181818.181821</v>
      </c>
      <c r="M57" s="11">
        <v>0.085</v>
      </c>
      <c r="N57" s="9">
        <v>26619875000</v>
      </c>
      <c r="O57" s="15" t="inlineStr">
        <is>
          <t xml:space="preserve">PASS</t>
        </is>
      </c>
      <c r="P57" s="0" t="inlineStr">
        <is>
          <t xml:space="preserve">ASM-CONSTRUCTION-SCHEDULE</t>
        </is>
      </c>
    </row>
    <row r="58">
      <c r="A58" s="0" t="inlineStr">
        <is>
          <t xml:space="preserve">VG-005</t>
        </is>
      </c>
      <c r="B58" s="23">
        <v>9</v>
      </c>
      <c r="C58" s="11">
        <v>0.06</v>
      </c>
      <c r="D58" s="9">
        <v>1530000000</v>
      </c>
      <c r="E58" s="9">
        <v>1390909090.9090908</v>
      </c>
      <c r="F58" s="9">
        <v>139090909.09090924</v>
      </c>
      <c r="G58" s="9">
        <v>34482954.54545454</v>
      </c>
      <c r="H58" s="9">
        <v>23205000000</v>
      </c>
      <c r="I58" s="9">
        <v>1094423295.4545455</v>
      </c>
      <c r="J58" s="9">
        <v>25500000000</v>
      </c>
      <c r="K58" s="9">
        <v>23181818181.81818</v>
      </c>
      <c r="L58" s="9">
        <v>2318181818.181821</v>
      </c>
      <c r="M58" s="11">
        <v>0.085</v>
      </c>
      <c r="N58" s="9">
        <v>26619875000</v>
      </c>
      <c r="O58" s="15" t="inlineStr">
        <is>
          <t xml:space="preserve">PASS</t>
        </is>
      </c>
      <c r="P58" s="0" t="inlineStr">
        <is>
          <t xml:space="preserve">ASM-CONSTRUCTION-SCHEDULE</t>
        </is>
      </c>
    </row>
    <row r="59">
      <c r="A59" s="0" t="inlineStr">
        <is>
          <t xml:space="preserve">VG-005</t>
        </is>
      </c>
      <c r="B59" s="23">
        <v>10</v>
      </c>
      <c r="C59" s="11">
        <v>0.04</v>
      </c>
      <c r="D59" s="9">
        <v>1020000000</v>
      </c>
      <c r="E59" s="9">
        <v>927272727.2727273</v>
      </c>
      <c r="F59" s="9">
        <v>92727272.72727284</v>
      </c>
      <c r="G59" s="9">
        <v>16420454.545454547</v>
      </c>
      <c r="H59" s="9">
        <v>24225000000</v>
      </c>
      <c r="I59" s="9">
        <v>1110843750</v>
      </c>
      <c r="J59" s="9">
        <v>25500000000</v>
      </c>
      <c r="K59" s="9">
        <v>23181818181.81818</v>
      </c>
      <c r="L59" s="9">
        <v>2318181818.181821</v>
      </c>
      <c r="M59" s="11">
        <v>0.085</v>
      </c>
      <c r="N59" s="9">
        <v>26619875000</v>
      </c>
      <c r="O59" s="15" t="inlineStr">
        <is>
          <t xml:space="preserve">PASS</t>
        </is>
      </c>
      <c r="P59" s="0" t="inlineStr">
        <is>
          <t xml:space="preserve">ASM-CONSTRUCTION-SCHEDULE</t>
        </is>
      </c>
    </row>
    <row r="60">
      <c r="A60" s="0" t="inlineStr">
        <is>
          <t xml:space="preserve">VG-005</t>
        </is>
      </c>
      <c r="B60" s="23">
        <v>11</v>
      </c>
      <c r="C60" s="11">
        <v>0.03</v>
      </c>
      <c r="D60" s="9">
        <v>765000000</v>
      </c>
      <c r="E60" s="9">
        <v>695454545.4545454</v>
      </c>
      <c r="F60" s="9">
        <v>69545454.54545462</v>
      </c>
      <c r="G60" s="9">
        <v>7389204.545454544</v>
      </c>
      <c r="H60" s="9">
        <v>24990000000</v>
      </c>
      <c r="I60" s="9">
        <v>1118232954.5454545</v>
      </c>
      <c r="J60" s="9">
        <v>25500000000</v>
      </c>
      <c r="K60" s="9">
        <v>23181818181.81818</v>
      </c>
      <c r="L60" s="9">
        <v>2318181818.181821</v>
      </c>
      <c r="M60" s="11">
        <v>0.085</v>
      </c>
      <c r="N60" s="9">
        <v>26619875000</v>
      </c>
      <c r="O60" s="15" t="inlineStr">
        <is>
          <t xml:space="preserve">PASS</t>
        </is>
      </c>
      <c r="P60" s="0" t="inlineStr">
        <is>
          <t xml:space="preserve">ASM-CONSTRUCTION-SCHEDULE</t>
        </is>
      </c>
    </row>
    <row r="61">
      <c r="A61" s="0" t="inlineStr">
        <is>
          <t xml:space="preserve">VG-005</t>
        </is>
      </c>
      <c r="B61" s="23">
        <v>12</v>
      </c>
      <c r="C61" s="11">
        <v>0.02</v>
      </c>
      <c r="D61" s="9">
        <v>510000000</v>
      </c>
      <c r="E61" s="9">
        <v>463636363.6363636</v>
      </c>
      <c r="F61" s="9">
        <v>46363636.36363642</v>
      </c>
      <c r="G61" s="9">
        <v>1642045.4545454548</v>
      </c>
      <c r="H61" s="9">
        <v>25500000000</v>
      </c>
      <c r="I61" s="9">
        <v>1119875000</v>
      </c>
      <c r="J61" s="9">
        <v>25500000000</v>
      </c>
      <c r="K61" s="9">
        <v>23181818181.81818</v>
      </c>
      <c r="L61" s="9">
        <v>2318181818.181821</v>
      </c>
      <c r="M61" s="11">
        <v>0.085</v>
      </c>
      <c r="N61" s="9">
        <v>26619875000</v>
      </c>
      <c r="O61" s="15" t="inlineStr">
        <is>
          <t xml:space="preserve">PASS</t>
        </is>
      </c>
      <c r="P61" s="0" t="inlineStr">
        <is>
          <t xml:space="preserve">ASM-CONSTRUCTION-SCHEDULE</t>
        </is>
      </c>
    </row>
    <row r="62">
      <c r="A62" s="0" t="inlineStr">
        <is>
          <t xml:space="preserve">VG-006</t>
        </is>
      </c>
      <c r="B62" s="23">
        <v>1</v>
      </c>
      <c r="C62" s="11">
        <v>0.05</v>
      </c>
      <c r="D62" s="9">
        <v>1275000000</v>
      </c>
      <c r="E62" s="9">
        <v>1159090909.090909</v>
      </c>
      <c r="F62" s="9">
        <v>115909090.90909106</v>
      </c>
      <c r="G62" s="9">
        <v>94417613.63636363</v>
      </c>
      <c r="H62" s="9">
        <v>1275000000</v>
      </c>
      <c r="I62" s="9">
        <v>94417613.63636363</v>
      </c>
      <c r="J62" s="9">
        <v>25500000000</v>
      </c>
      <c r="K62" s="9">
        <v>23181818181.81818</v>
      </c>
      <c r="L62" s="9">
        <v>2318181818.181821</v>
      </c>
      <c r="M62" s="11">
        <v>0.085</v>
      </c>
      <c r="N62" s="9">
        <v>26619875000</v>
      </c>
      <c r="O62" s="15" t="inlineStr">
        <is>
          <t xml:space="preserve">PASS</t>
        </is>
      </c>
      <c r="P62" s="0" t="inlineStr">
        <is>
          <t xml:space="preserve">ASM-CONSTRUCTION-SCHEDULE</t>
        </is>
      </c>
    </row>
    <row r="63">
      <c r="A63" s="0" t="inlineStr">
        <is>
          <t xml:space="preserve">VG-006</t>
        </is>
      </c>
      <c r="B63" s="23">
        <v>2</v>
      </c>
      <c r="C63" s="11">
        <v>0.08</v>
      </c>
      <c r="D63" s="9">
        <v>2040000000</v>
      </c>
      <c r="E63" s="9">
        <v>1854545454.5454545</v>
      </c>
      <c r="F63" s="9">
        <v>185454545.45454568</v>
      </c>
      <c r="G63" s="9">
        <v>137931818.18181822</v>
      </c>
      <c r="H63" s="9">
        <v>3315000000</v>
      </c>
      <c r="I63" s="9">
        <v>232349431.81818184</v>
      </c>
      <c r="J63" s="9">
        <v>25500000000</v>
      </c>
      <c r="K63" s="9">
        <v>23181818181.81818</v>
      </c>
      <c r="L63" s="9">
        <v>2318181818.181821</v>
      </c>
      <c r="M63" s="11">
        <v>0.085</v>
      </c>
      <c r="N63" s="9">
        <v>26619875000</v>
      </c>
      <c r="O63" s="15" t="inlineStr">
        <is>
          <t xml:space="preserve">PASS</t>
        </is>
      </c>
      <c r="P63" s="0" t="inlineStr">
        <is>
          <t xml:space="preserve">ASM-CONSTRUCTION-SCHEDULE</t>
        </is>
      </c>
    </row>
    <row r="64">
      <c r="A64" s="0" t="inlineStr">
        <is>
          <t xml:space="preserve">VG-006</t>
        </is>
      </c>
      <c r="B64" s="23">
        <v>3</v>
      </c>
      <c r="C64" s="11">
        <v>0.1</v>
      </c>
      <c r="D64" s="9">
        <v>2550000000</v>
      </c>
      <c r="E64" s="9">
        <v>2318181818.181818</v>
      </c>
      <c r="F64" s="9">
        <v>231818181.8181821</v>
      </c>
      <c r="G64" s="9">
        <v>155994318.18181816</v>
      </c>
      <c r="H64" s="9">
        <v>5865000000</v>
      </c>
      <c r="I64" s="9">
        <v>388343750</v>
      </c>
      <c r="J64" s="9">
        <v>25500000000</v>
      </c>
      <c r="K64" s="9">
        <v>23181818181.81818</v>
      </c>
      <c r="L64" s="9">
        <v>2318181818.181821</v>
      </c>
      <c r="M64" s="11">
        <v>0.085</v>
      </c>
      <c r="N64" s="9">
        <v>26619875000</v>
      </c>
      <c r="O64" s="15" t="inlineStr">
        <is>
          <t xml:space="preserve">PASS</t>
        </is>
      </c>
      <c r="P64" s="0" t="inlineStr">
        <is>
          <t xml:space="preserve">ASM-CONSTRUCTION-SCHEDULE</t>
        </is>
      </c>
    </row>
    <row r="65">
      <c r="A65" s="0" t="inlineStr">
        <is>
          <t xml:space="preserve">VG-006</t>
        </is>
      </c>
      <c r="B65" s="23">
        <v>4</v>
      </c>
      <c r="C65" s="11">
        <v>0.12</v>
      </c>
      <c r="D65" s="9">
        <v>3060000000</v>
      </c>
      <c r="E65" s="9">
        <v>2781818181.8181815</v>
      </c>
      <c r="F65" s="9">
        <v>278181818.1818185</v>
      </c>
      <c r="G65" s="9">
        <v>167488636.36363634</v>
      </c>
      <c r="H65" s="9">
        <v>8925000000</v>
      </c>
      <c r="I65" s="9">
        <v>555832386.3636364</v>
      </c>
      <c r="J65" s="9">
        <v>25500000000</v>
      </c>
      <c r="K65" s="9">
        <v>23181818181.81818</v>
      </c>
      <c r="L65" s="9">
        <v>2318181818.181821</v>
      </c>
      <c r="M65" s="11">
        <v>0.085</v>
      </c>
      <c r="N65" s="9">
        <v>26619875000</v>
      </c>
      <c r="O65" s="15" t="inlineStr">
        <is>
          <t xml:space="preserve">PASS</t>
        </is>
      </c>
      <c r="P65" s="0" t="inlineStr">
        <is>
          <t xml:space="preserve">ASM-CONSTRUCTION-SCHEDULE</t>
        </is>
      </c>
    </row>
    <row r="66">
      <c r="A66" s="0" t="inlineStr">
        <is>
          <t xml:space="preserve">VG-006</t>
        </is>
      </c>
      <c r="B66" s="23">
        <v>5</v>
      </c>
      <c r="C66" s="11">
        <v>0.14</v>
      </c>
      <c r="D66" s="9">
        <v>3570000000.0000005</v>
      </c>
      <c r="E66" s="9">
        <v>3245454545.4545455</v>
      </c>
      <c r="F66" s="9">
        <v>324545454.545455</v>
      </c>
      <c r="G66" s="9">
        <v>172414772.72727272</v>
      </c>
      <c r="H66" s="9">
        <v>12495000000</v>
      </c>
      <c r="I66" s="9">
        <v>728247159.0909091</v>
      </c>
      <c r="J66" s="9">
        <v>25500000000</v>
      </c>
      <c r="K66" s="9">
        <v>23181818181.81818</v>
      </c>
      <c r="L66" s="9">
        <v>2318181818.181821</v>
      </c>
      <c r="M66" s="11">
        <v>0.085</v>
      </c>
      <c r="N66" s="9">
        <v>26619875000</v>
      </c>
      <c r="O66" s="15" t="inlineStr">
        <is>
          <t xml:space="preserve">PASS</t>
        </is>
      </c>
      <c r="P66" s="0" t="inlineStr">
        <is>
          <t xml:space="preserve">ASM-CONSTRUCTION-SCHEDULE</t>
        </is>
      </c>
    </row>
    <row r="67">
      <c r="A67" s="0" t="inlineStr">
        <is>
          <t xml:space="preserve">VG-006</t>
        </is>
      </c>
      <c r="B67" s="23">
        <v>6</v>
      </c>
      <c r="C67" s="11">
        <v>0.14</v>
      </c>
      <c r="D67" s="9">
        <v>3570000000.0000005</v>
      </c>
      <c r="E67" s="9">
        <v>3245454545.4545455</v>
      </c>
      <c r="F67" s="9">
        <v>324545454.545455</v>
      </c>
      <c r="G67" s="9">
        <v>149426136.36363637</v>
      </c>
      <c r="H67" s="9">
        <v>16065000000</v>
      </c>
      <c r="I67" s="9">
        <v>877673295.4545455</v>
      </c>
      <c r="J67" s="9">
        <v>25500000000</v>
      </c>
      <c r="K67" s="9">
        <v>23181818181.81818</v>
      </c>
      <c r="L67" s="9">
        <v>2318181818.181821</v>
      </c>
      <c r="M67" s="11">
        <v>0.085</v>
      </c>
      <c r="N67" s="9">
        <v>26619875000</v>
      </c>
      <c r="O67" s="15" t="inlineStr">
        <is>
          <t xml:space="preserve">PASS</t>
        </is>
      </c>
      <c r="P67" s="0" t="inlineStr">
        <is>
          <t xml:space="preserve">ASM-CONSTRUCTION-SCHEDULE</t>
        </is>
      </c>
    </row>
    <row r="68">
      <c r="A68" s="0" t="inlineStr">
        <is>
          <t xml:space="preserve">VG-006</t>
        </is>
      </c>
      <c r="B68" s="23">
        <v>7</v>
      </c>
      <c r="C68" s="11">
        <v>0.12</v>
      </c>
      <c r="D68" s="9">
        <v>3060000000</v>
      </c>
      <c r="E68" s="9">
        <v>2781818181.8181815</v>
      </c>
      <c r="F68" s="9">
        <v>278181818.1818185</v>
      </c>
      <c r="G68" s="9">
        <v>108375000</v>
      </c>
      <c r="H68" s="9">
        <v>19125000000</v>
      </c>
      <c r="I68" s="9">
        <v>986048295.4545455</v>
      </c>
      <c r="J68" s="9">
        <v>25500000000</v>
      </c>
      <c r="K68" s="9">
        <v>23181818181.81818</v>
      </c>
      <c r="L68" s="9">
        <v>2318181818.181821</v>
      </c>
      <c r="M68" s="11">
        <v>0.085</v>
      </c>
      <c r="N68" s="9">
        <v>26619875000</v>
      </c>
      <c r="O68" s="15" t="inlineStr">
        <is>
          <t xml:space="preserve">PASS</t>
        </is>
      </c>
      <c r="P68" s="0" t="inlineStr">
        <is>
          <t xml:space="preserve">ASM-CONSTRUCTION-SCHEDULE</t>
        </is>
      </c>
    </row>
    <row r="69">
      <c r="A69" s="0" t="inlineStr">
        <is>
          <t xml:space="preserve">VG-006</t>
        </is>
      </c>
      <c r="B69" s="23">
        <v>8</v>
      </c>
      <c r="C69" s="11">
        <v>0.1</v>
      </c>
      <c r="D69" s="9">
        <v>2550000000</v>
      </c>
      <c r="E69" s="9">
        <v>2318181818.181818</v>
      </c>
      <c r="F69" s="9">
        <v>231818181.8181821</v>
      </c>
      <c r="G69" s="9">
        <v>73892045.45454545</v>
      </c>
      <c r="H69" s="9">
        <v>21675000000</v>
      </c>
      <c r="I69" s="9">
        <v>1059940340.909091</v>
      </c>
      <c r="J69" s="9">
        <v>25500000000</v>
      </c>
      <c r="K69" s="9">
        <v>23181818181.81818</v>
      </c>
      <c r="L69" s="9">
        <v>2318181818.181821</v>
      </c>
      <c r="M69" s="11">
        <v>0.085</v>
      </c>
      <c r="N69" s="9">
        <v>26619875000</v>
      </c>
      <c r="O69" s="15" t="inlineStr">
        <is>
          <t xml:space="preserve">PASS</t>
        </is>
      </c>
      <c r="P69" s="0" t="inlineStr">
        <is>
          <t xml:space="preserve">ASM-CONSTRUCTION-SCHEDULE</t>
        </is>
      </c>
    </row>
    <row r="70">
      <c r="A70" s="0" t="inlineStr">
        <is>
          <t xml:space="preserve">VG-006</t>
        </is>
      </c>
      <c r="B70" s="23">
        <v>9</v>
      </c>
      <c r="C70" s="11">
        <v>0.06</v>
      </c>
      <c r="D70" s="9">
        <v>1530000000</v>
      </c>
      <c r="E70" s="9">
        <v>1390909090.9090908</v>
      </c>
      <c r="F70" s="9">
        <v>139090909.09090924</v>
      </c>
      <c r="G70" s="9">
        <v>34482954.54545454</v>
      </c>
      <c r="H70" s="9">
        <v>23205000000</v>
      </c>
      <c r="I70" s="9">
        <v>1094423295.4545455</v>
      </c>
      <c r="J70" s="9">
        <v>25500000000</v>
      </c>
      <c r="K70" s="9">
        <v>23181818181.81818</v>
      </c>
      <c r="L70" s="9">
        <v>2318181818.181821</v>
      </c>
      <c r="M70" s="11">
        <v>0.085</v>
      </c>
      <c r="N70" s="9">
        <v>26619875000</v>
      </c>
      <c r="O70" s="15" t="inlineStr">
        <is>
          <t xml:space="preserve">PASS</t>
        </is>
      </c>
      <c r="P70" s="0" t="inlineStr">
        <is>
          <t xml:space="preserve">ASM-CONSTRUCTION-SCHEDULE</t>
        </is>
      </c>
    </row>
    <row r="71">
      <c r="A71" s="0" t="inlineStr">
        <is>
          <t xml:space="preserve">VG-006</t>
        </is>
      </c>
      <c r="B71" s="23">
        <v>10</v>
      </c>
      <c r="C71" s="11">
        <v>0.04</v>
      </c>
      <c r="D71" s="9">
        <v>1020000000</v>
      </c>
      <c r="E71" s="9">
        <v>927272727.2727273</v>
      </c>
      <c r="F71" s="9">
        <v>92727272.72727284</v>
      </c>
      <c r="G71" s="9">
        <v>16420454.545454547</v>
      </c>
      <c r="H71" s="9">
        <v>24225000000</v>
      </c>
      <c r="I71" s="9">
        <v>1110843750</v>
      </c>
      <c r="J71" s="9">
        <v>25500000000</v>
      </c>
      <c r="K71" s="9">
        <v>23181818181.81818</v>
      </c>
      <c r="L71" s="9">
        <v>2318181818.181821</v>
      </c>
      <c r="M71" s="11">
        <v>0.085</v>
      </c>
      <c r="N71" s="9">
        <v>26619875000</v>
      </c>
      <c r="O71" s="15" t="inlineStr">
        <is>
          <t xml:space="preserve">PASS</t>
        </is>
      </c>
      <c r="P71" s="0" t="inlineStr">
        <is>
          <t xml:space="preserve">ASM-CONSTRUCTION-SCHEDULE</t>
        </is>
      </c>
    </row>
    <row r="72">
      <c r="A72" s="0" t="inlineStr">
        <is>
          <t xml:space="preserve">VG-006</t>
        </is>
      </c>
      <c r="B72" s="23">
        <v>11</v>
      </c>
      <c r="C72" s="11">
        <v>0.03</v>
      </c>
      <c r="D72" s="9">
        <v>765000000</v>
      </c>
      <c r="E72" s="9">
        <v>695454545.4545454</v>
      </c>
      <c r="F72" s="9">
        <v>69545454.54545462</v>
      </c>
      <c r="G72" s="9">
        <v>7389204.545454544</v>
      </c>
      <c r="H72" s="9">
        <v>24990000000</v>
      </c>
      <c r="I72" s="9">
        <v>1118232954.5454545</v>
      </c>
      <c r="J72" s="9">
        <v>25500000000</v>
      </c>
      <c r="K72" s="9">
        <v>23181818181.81818</v>
      </c>
      <c r="L72" s="9">
        <v>2318181818.181821</v>
      </c>
      <c r="M72" s="11">
        <v>0.085</v>
      </c>
      <c r="N72" s="9">
        <v>26619875000</v>
      </c>
      <c r="O72" s="15" t="inlineStr">
        <is>
          <t xml:space="preserve">PASS</t>
        </is>
      </c>
      <c r="P72" s="0" t="inlineStr">
        <is>
          <t xml:space="preserve">ASM-CONSTRUCTION-SCHEDULE</t>
        </is>
      </c>
    </row>
    <row r="73">
      <c r="A73" s="0" t="inlineStr">
        <is>
          <t xml:space="preserve">VG-006</t>
        </is>
      </c>
      <c r="B73" s="23">
        <v>12</v>
      </c>
      <c r="C73" s="11">
        <v>0.02</v>
      </c>
      <c r="D73" s="9">
        <v>510000000</v>
      </c>
      <c r="E73" s="9">
        <v>463636363.6363636</v>
      </c>
      <c r="F73" s="9">
        <v>46363636.36363642</v>
      </c>
      <c r="G73" s="9">
        <v>1642045.4545454548</v>
      </c>
      <c r="H73" s="9">
        <v>25500000000</v>
      </c>
      <c r="I73" s="9">
        <v>1119875000</v>
      </c>
      <c r="J73" s="9">
        <v>25500000000</v>
      </c>
      <c r="K73" s="9">
        <v>23181818181.81818</v>
      </c>
      <c r="L73" s="9">
        <v>2318181818.181821</v>
      </c>
      <c r="M73" s="11">
        <v>0.085</v>
      </c>
      <c r="N73" s="9">
        <v>26619875000</v>
      </c>
      <c r="O73" s="15" t="inlineStr">
        <is>
          <t xml:space="preserve">PASS</t>
        </is>
      </c>
      <c r="P73" s="0" t="inlineStr">
        <is>
          <t xml:space="preserve">ASM-CONSTRUCTION-SCHEDULE</t>
        </is>
      </c>
    </row>
    <row r="74">
      <c r="A74" s="0" t="inlineStr">
        <is>
          <t xml:space="preserve">VG-007</t>
        </is>
      </c>
      <c r="B74" s="23">
        <v>1</v>
      </c>
      <c r="C74" s="11">
        <v>0.05</v>
      </c>
      <c r="D74" s="9">
        <v>1381250000</v>
      </c>
      <c r="E74" s="9">
        <v>1255681818.181818</v>
      </c>
      <c r="F74" s="9">
        <v>125568181.81818198</v>
      </c>
      <c r="G74" s="9">
        <v>102285748.10606058</v>
      </c>
      <c r="H74" s="9">
        <v>1381250000</v>
      </c>
      <c r="I74" s="9">
        <v>102285748.10606058</v>
      </c>
      <c r="J74" s="9">
        <v>27625000000</v>
      </c>
      <c r="K74" s="9">
        <v>25113636363.63636</v>
      </c>
      <c r="L74" s="9">
        <v>2511363636.3636394</v>
      </c>
      <c r="M74" s="11">
        <v>0.085</v>
      </c>
      <c r="N74" s="9">
        <v>28838197916.666668</v>
      </c>
      <c r="O74" s="15" t="inlineStr">
        <is>
          <t xml:space="preserve">PASS</t>
        </is>
      </c>
      <c r="P74" s="0" t="inlineStr">
        <is>
          <t xml:space="preserve">ASM-CONSTRUCTION-SCHEDULE</t>
        </is>
      </c>
    </row>
    <row r="75">
      <c r="A75" s="0" t="inlineStr">
        <is>
          <t xml:space="preserve">VG-007</t>
        </is>
      </c>
      <c r="B75" s="23">
        <v>2</v>
      </c>
      <c r="C75" s="11">
        <v>0.08</v>
      </c>
      <c r="D75" s="9">
        <v>2210000000</v>
      </c>
      <c r="E75" s="9">
        <v>2009090909.0909088</v>
      </c>
      <c r="F75" s="9">
        <v>200909090.90909114</v>
      </c>
      <c r="G75" s="9">
        <v>149426136.36363634</v>
      </c>
      <c r="H75" s="9">
        <v>3591250000</v>
      </c>
      <c r="I75" s="9">
        <v>251711884.46969694</v>
      </c>
      <c r="J75" s="9">
        <v>27625000000</v>
      </c>
      <c r="K75" s="9">
        <v>25113636363.63636</v>
      </c>
      <c r="L75" s="9">
        <v>2511363636.3636394</v>
      </c>
      <c r="M75" s="11">
        <v>0.085</v>
      </c>
      <c r="N75" s="9">
        <v>28838197916.666668</v>
      </c>
      <c r="O75" s="15" t="inlineStr">
        <is>
          <t xml:space="preserve">PASS</t>
        </is>
      </c>
      <c r="P75" s="0" t="inlineStr">
        <is>
          <t xml:space="preserve">ASM-CONSTRUCTION-SCHEDULE</t>
        </is>
      </c>
    </row>
    <row r="76">
      <c r="A76" s="0" t="inlineStr">
        <is>
          <t xml:space="preserve">VG-007</t>
        </is>
      </c>
      <c r="B76" s="23">
        <v>3</v>
      </c>
      <c r="C76" s="11">
        <v>0.1</v>
      </c>
      <c r="D76" s="9">
        <v>2762500000</v>
      </c>
      <c r="E76" s="9">
        <v>2511363636.363636</v>
      </c>
      <c r="F76" s="9">
        <v>251136363.63636395</v>
      </c>
      <c r="G76" s="9">
        <v>168993844.69696966</v>
      </c>
      <c r="H76" s="9">
        <v>6353750000</v>
      </c>
      <c r="I76" s="9">
        <v>420705729.1666666</v>
      </c>
      <c r="J76" s="9">
        <v>27625000000</v>
      </c>
      <c r="K76" s="9">
        <v>25113636363.63636</v>
      </c>
      <c r="L76" s="9">
        <v>2511363636.3636394</v>
      </c>
      <c r="M76" s="11">
        <v>0.085</v>
      </c>
      <c r="N76" s="9">
        <v>28838197916.666668</v>
      </c>
      <c r="O76" s="15" t="inlineStr">
        <is>
          <t xml:space="preserve">PASS</t>
        </is>
      </c>
      <c r="P76" s="0" t="inlineStr">
        <is>
          <t xml:space="preserve">ASM-CONSTRUCTION-SCHEDULE</t>
        </is>
      </c>
    </row>
    <row r="77">
      <c r="A77" s="0" t="inlineStr">
        <is>
          <t xml:space="preserve">VG-007</t>
        </is>
      </c>
      <c r="B77" s="23">
        <v>4</v>
      </c>
      <c r="C77" s="11">
        <v>0.12</v>
      </c>
      <c r="D77" s="9">
        <v>3315000000</v>
      </c>
      <c r="E77" s="9">
        <v>3013636363.636363</v>
      </c>
      <c r="F77" s="9">
        <v>301363636.36363673</v>
      </c>
      <c r="G77" s="9">
        <v>181446022.72727272</v>
      </c>
      <c r="H77" s="9">
        <v>9668750000</v>
      </c>
      <c r="I77" s="9">
        <v>602151751.8939394</v>
      </c>
      <c r="J77" s="9">
        <v>27625000000</v>
      </c>
      <c r="K77" s="9">
        <v>25113636363.63636</v>
      </c>
      <c r="L77" s="9">
        <v>2511363636.3636394</v>
      </c>
      <c r="M77" s="11">
        <v>0.085</v>
      </c>
      <c r="N77" s="9">
        <v>28838197916.666668</v>
      </c>
      <c r="O77" s="15" t="inlineStr">
        <is>
          <t xml:space="preserve">PASS</t>
        </is>
      </c>
      <c r="P77" s="0" t="inlineStr">
        <is>
          <t xml:space="preserve">ASM-CONSTRUCTION-SCHEDULE</t>
        </is>
      </c>
    </row>
    <row r="78">
      <c r="A78" s="0" t="inlineStr">
        <is>
          <t xml:space="preserve">VG-007</t>
        </is>
      </c>
      <c r="B78" s="23">
        <v>5</v>
      </c>
      <c r="C78" s="11">
        <v>0.14</v>
      </c>
      <c r="D78" s="9">
        <v>3867500000.0000005</v>
      </c>
      <c r="E78" s="9">
        <v>3515909090.909091</v>
      </c>
      <c r="F78" s="9">
        <v>351590909.09090954</v>
      </c>
      <c r="G78" s="9">
        <v>186782670.45454547</v>
      </c>
      <c r="H78" s="9">
        <v>13536250000</v>
      </c>
      <c r="I78" s="9">
        <v>788934422.3484849</v>
      </c>
      <c r="J78" s="9">
        <v>27625000000</v>
      </c>
      <c r="K78" s="9">
        <v>25113636363.63636</v>
      </c>
      <c r="L78" s="9">
        <v>2511363636.3636394</v>
      </c>
      <c r="M78" s="11">
        <v>0.085</v>
      </c>
      <c r="N78" s="9">
        <v>28838197916.666668</v>
      </c>
      <c r="O78" s="15" t="inlineStr">
        <is>
          <t xml:space="preserve">PASS</t>
        </is>
      </c>
      <c r="P78" s="0" t="inlineStr">
        <is>
          <t xml:space="preserve">ASM-CONSTRUCTION-SCHEDULE</t>
        </is>
      </c>
    </row>
    <row r="79">
      <c r="A79" s="0" t="inlineStr">
        <is>
          <t xml:space="preserve">VG-007</t>
        </is>
      </c>
      <c r="B79" s="23">
        <v>6</v>
      </c>
      <c r="C79" s="11">
        <v>0.14</v>
      </c>
      <c r="D79" s="9">
        <v>3867500000.0000005</v>
      </c>
      <c r="E79" s="9">
        <v>3515909090.909091</v>
      </c>
      <c r="F79" s="9">
        <v>351590909.09090954</v>
      </c>
      <c r="G79" s="9">
        <v>161878314.3939394</v>
      </c>
      <c r="H79" s="9">
        <v>17403750000</v>
      </c>
      <c r="I79" s="9">
        <v>950812736.7424242</v>
      </c>
      <c r="J79" s="9">
        <v>27625000000</v>
      </c>
      <c r="K79" s="9">
        <v>25113636363.63636</v>
      </c>
      <c r="L79" s="9">
        <v>2511363636.3636394</v>
      </c>
      <c r="M79" s="11">
        <v>0.085</v>
      </c>
      <c r="N79" s="9">
        <v>28838197916.666668</v>
      </c>
      <c r="O79" s="15" t="inlineStr">
        <is>
          <t xml:space="preserve">PASS</t>
        </is>
      </c>
      <c r="P79" s="0" t="inlineStr">
        <is>
          <t xml:space="preserve">ASM-CONSTRUCTION-SCHEDULE</t>
        </is>
      </c>
    </row>
    <row r="80">
      <c r="A80" s="0" t="inlineStr">
        <is>
          <t xml:space="preserve">VG-007</t>
        </is>
      </c>
      <c r="B80" s="23">
        <v>7</v>
      </c>
      <c r="C80" s="11">
        <v>0.12</v>
      </c>
      <c r="D80" s="9">
        <v>3315000000</v>
      </c>
      <c r="E80" s="9">
        <v>3013636363.636363</v>
      </c>
      <c r="F80" s="9">
        <v>301363636.36363673</v>
      </c>
      <c r="G80" s="9">
        <v>117406249.99999999</v>
      </c>
      <c r="H80" s="9">
        <v>20718750000</v>
      </c>
      <c r="I80" s="9">
        <v>1068218986.7424242</v>
      </c>
      <c r="J80" s="9">
        <v>27625000000</v>
      </c>
      <c r="K80" s="9">
        <v>25113636363.63636</v>
      </c>
      <c r="L80" s="9">
        <v>2511363636.3636394</v>
      </c>
      <c r="M80" s="11">
        <v>0.085</v>
      </c>
      <c r="N80" s="9">
        <v>28838197916.666668</v>
      </c>
      <c r="O80" s="15" t="inlineStr">
        <is>
          <t xml:space="preserve">PASS</t>
        </is>
      </c>
      <c r="P80" s="0" t="inlineStr">
        <is>
          <t xml:space="preserve">ASM-CONSTRUCTION-SCHEDULE</t>
        </is>
      </c>
    </row>
    <row r="81">
      <c r="A81" s="0" t="inlineStr">
        <is>
          <t xml:space="preserve">VG-007</t>
        </is>
      </c>
      <c r="B81" s="23">
        <v>8</v>
      </c>
      <c r="C81" s="11">
        <v>0.1</v>
      </c>
      <c r="D81" s="9">
        <v>2762500000</v>
      </c>
      <c r="E81" s="9">
        <v>2511363636.363636</v>
      </c>
      <c r="F81" s="9">
        <v>251136363.63636395</v>
      </c>
      <c r="G81" s="9">
        <v>80049715.90909089</v>
      </c>
      <c r="H81" s="9">
        <v>23481250000</v>
      </c>
      <c r="I81" s="9">
        <v>1148268702.6515152</v>
      </c>
      <c r="J81" s="9">
        <v>27625000000</v>
      </c>
      <c r="K81" s="9">
        <v>25113636363.63636</v>
      </c>
      <c r="L81" s="9">
        <v>2511363636.3636394</v>
      </c>
      <c r="M81" s="11">
        <v>0.085</v>
      </c>
      <c r="N81" s="9">
        <v>28838197916.666668</v>
      </c>
      <c r="O81" s="15" t="inlineStr">
        <is>
          <t xml:space="preserve">PASS</t>
        </is>
      </c>
      <c r="P81" s="0" t="inlineStr">
        <is>
          <t xml:space="preserve">ASM-CONSTRUCTION-SCHEDULE</t>
        </is>
      </c>
    </row>
    <row r="82">
      <c r="A82" s="0" t="inlineStr">
        <is>
          <t xml:space="preserve">VG-007</t>
        </is>
      </c>
      <c r="B82" s="23">
        <v>9</v>
      </c>
      <c r="C82" s="11">
        <v>0.06</v>
      </c>
      <c r="D82" s="9">
        <v>1657500000</v>
      </c>
      <c r="E82" s="9">
        <v>1506818181.8181815</v>
      </c>
      <c r="F82" s="9">
        <v>150681818.18181837</v>
      </c>
      <c r="G82" s="9">
        <v>37356534.090909086</v>
      </c>
      <c r="H82" s="9">
        <v>25138750000</v>
      </c>
      <c r="I82" s="9">
        <v>1185625236.7424242</v>
      </c>
      <c r="J82" s="9">
        <v>27625000000</v>
      </c>
      <c r="K82" s="9">
        <v>25113636363.63636</v>
      </c>
      <c r="L82" s="9">
        <v>2511363636.3636394</v>
      </c>
      <c r="M82" s="11">
        <v>0.085</v>
      </c>
      <c r="N82" s="9">
        <v>28838197916.666668</v>
      </c>
      <c r="O82" s="15" t="inlineStr">
        <is>
          <t xml:space="preserve">PASS</t>
        </is>
      </c>
      <c r="P82" s="0" t="inlineStr">
        <is>
          <t xml:space="preserve">ASM-CONSTRUCTION-SCHEDULE</t>
        </is>
      </c>
    </row>
    <row r="83">
      <c r="A83" s="0" t="inlineStr">
        <is>
          <t xml:space="preserve">VG-007</t>
        </is>
      </c>
      <c r="B83" s="23">
        <v>10</v>
      </c>
      <c r="C83" s="11">
        <v>0.04</v>
      </c>
      <c r="D83" s="9">
        <v>1105000000</v>
      </c>
      <c r="E83" s="9">
        <v>1004545454.5454544</v>
      </c>
      <c r="F83" s="9">
        <v>100454545.45454557</v>
      </c>
      <c r="G83" s="9">
        <v>17788825.757575754</v>
      </c>
      <c r="H83" s="9">
        <v>26243750000</v>
      </c>
      <c r="I83" s="9">
        <v>1203414062.5</v>
      </c>
      <c r="J83" s="9">
        <v>27625000000</v>
      </c>
      <c r="K83" s="9">
        <v>25113636363.63636</v>
      </c>
      <c r="L83" s="9">
        <v>2511363636.3636394</v>
      </c>
      <c r="M83" s="11">
        <v>0.085</v>
      </c>
      <c r="N83" s="9">
        <v>28838197916.666668</v>
      </c>
      <c r="O83" s="15" t="inlineStr">
        <is>
          <t xml:space="preserve">PASS</t>
        </is>
      </c>
      <c r="P83" s="0" t="inlineStr">
        <is>
          <t xml:space="preserve">ASM-CONSTRUCTION-SCHEDULE</t>
        </is>
      </c>
    </row>
    <row r="84">
      <c r="A84" s="0" t="inlineStr">
        <is>
          <t xml:space="preserve">VG-007</t>
        </is>
      </c>
      <c r="B84" s="23">
        <v>11</v>
      </c>
      <c r="C84" s="11">
        <v>0.03</v>
      </c>
      <c r="D84" s="9">
        <v>828750000</v>
      </c>
      <c r="E84" s="9">
        <v>753409090.9090908</v>
      </c>
      <c r="F84" s="9">
        <v>75340909.09090918</v>
      </c>
      <c r="G84" s="9">
        <v>8004971.59090909</v>
      </c>
      <c r="H84" s="9">
        <v>27072500000</v>
      </c>
      <c r="I84" s="9">
        <v>1211419034.090909</v>
      </c>
      <c r="J84" s="9">
        <v>27625000000</v>
      </c>
      <c r="K84" s="9">
        <v>25113636363.63636</v>
      </c>
      <c r="L84" s="9">
        <v>2511363636.3636394</v>
      </c>
      <c r="M84" s="11">
        <v>0.085</v>
      </c>
      <c r="N84" s="9">
        <v>28838197916.666668</v>
      </c>
      <c r="O84" s="15" t="inlineStr">
        <is>
          <t xml:space="preserve">PASS</t>
        </is>
      </c>
      <c r="P84" s="0" t="inlineStr">
        <is>
          <t xml:space="preserve">ASM-CONSTRUCTION-SCHEDULE</t>
        </is>
      </c>
    </row>
    <row r="85">
      <c r="A85" s="0" t="inlineStr">
        <is>
          <t xml:space="preserve">VG-007</t>
        </is>
      </c>
      <c r="B85" s="23">
        <v>12</v>
      </c>
      <c r="C85" s="11">
        <v>0.02</v>
      </c>
      <c r="D85" s="9">
        <v>552500000</v>
      </c>
      <c r="E85" s="9">
        <v>502272727.2727272</v>
      </c>
      <c r="F85" s="9">
        <v>50227272.727272786</v>
      </c>
      <c r="G85" s="9">
        <v>1778882.5757575755</v>
      </c>
      <c r="H85" s="9">
        <v>27625000000</v>
      </c>
      <c r="I85" s="9">
        <v>1213197916.6666665</v>
      </c>
      <c r="J85" s="9">
        <v>27625000000</v>
      </c>
      <c r="K85" s="9">
        <v>25113636363.63636</v>
      </c>
      <c r="L85" s="9">
        <v>2511363636.3636394</v>
      </c>
      <c r="M85" s="11">
        <v>0.085</v>
      </c>
      <c r="N85" s="9">
        <v>28838197916.666668</v>
      </c>
      <c r="O85" s="15" t="inlineStr">
        <is>
          <t xml:space="preserve">PASS</t>
        </is>
      </c>
      <c r="P85" s="0" t="inlineStr">
        <is>
          <t xml:space="preserve">ASM-CONSTRUCTION-SCHEDULE</t>
        </is>
      </c>
    </row>
    <row r="86">
      <c r="A86" s="0" t="inlineStr">
        <is>
          <t xml:space="preserve">VG-008</t>
        </is>
      </c>
      <c r="B86" s="23">
        <v>1</v>
      </c>
      <c r="C86" s="11">
        <v>0.05</v>
      </c>
      <c r="D86" s="9">
        <v>1381250000</v>
      </c>
      <c r="E86" s="9">
        <v>1255681818.181818</v>
      </c>
      <c r="F86" s="9">
        <v>125568181.81818198</v>
      </c>
      <c r="G86" s="9">
        <v>102285748.10606058</v>
      </c>
      <c r="H86" s="9">
        <v>1381250000</v>
      </c>
      <c r="I86" s="9">
        <v>102285748.10606058</v>
      </c>
      <c r="J86" s="9">
        <v>27625000000</v>
      </c>
      <c r="K86" s="9">
        <v>25113636363.63636</v>
      </c>
      <c r="L86" s="9">
        <v>2511363636.3636394</v>
      </c>
      <c r="M86" s="11">
        <v>0.085</v>
      </c>
      <c r="N86" s="9">
        <v>28838197916.666668</v>
      </c>
      <c r="O86" s="15" t="inlineStr">
        <is>
          <t xml:space="preserve">PASS</t>
        </is>
      </c>
      <c r="P86" s="0" t="inlineStr">
        <is>
          <t xml:space="preserve">ASM-CONSTRUCTION-SCHEDULE</t>
        </is>
      </c>
    </row>
    <row r="87">
      <c r="A87" s="0" t="inlineStr">
        <is>
          <t xml:space="preserve">VG-008</t>
        </is>
      </c>
      <c r="B87" s="23">
        <v>2</v>
      </c>
      <c r="C87" s="11">
        <v>0.08</v>
      </c>
      <c r="D87" s="9">
        <v>2210000000</v>
      </c>
      <c r="E87" s="9">
        <v>2009090909.0909088</v>
      </c>
      <c r="F87" s="9">
        <v>200909090.90909114</v>
      </c>
      <c r="G87" s="9">
        <v>149426136.36363634</v>
      </c>
      <c r="H87" s="9">
        <v>3591250000</v>
      </c>
      <c r="I87" s="9">
        <v>251711884.46969694</v>
      </c>
      <c r="J87" s="9">
        <v>27625000000</v>
      </c>
      <c r="K87" s="9">
        <v>25113636363.63636</v>
      </c>
      <c r="L87" s="9">
        <v>2511363636.3636394</v>
      </c>
      <c r="M87" s="11">
        <v>0.085</v>
      </c>
      <c r="N87" s="9">
        <v>28838197916.666668</v>
      </c>
      <c r="O87" s="15" t="inlineStr">
        <is>
          <t xml:space="preserve">PASS</t>
        </is>
      </c>
      <c r="P87" s="0" t="inlineStr">
        <is>
          <t xml:space="preserve">ASM-CONSTRUCTION-SCHEDULE</t>
        </is>
      </c>
    </row>
    <row r="88">
      <c r="A88" s="0" t="inlineStr">
        <is>
          <t xml:space="preserve">VG-008</t>
        </is>
      </c>
      <c r="B88" s="23">
        <v>3</v>
      </c>
      <c r="C88" s="11">
        <v>0.1</v>
      </c>
      <c r="D88" s="9">
        <v>2762500000</v>
      </c>
      <c r="E88" s="9">
        <v>2511363636.363636</v>
      </c>
      <c r="F88" s="9">
        <v>251136363.63636395</v>
      </c>
      <c r="G88" s="9">
        <v>168993844.69696966</v>
      </c>
      <c r="H88" s="9">
        <v>6353750000</v>
      </c>
      <c r="I88" s="9">
        <v>420705729.1666666</v>
      </c>
      <c r="J88" s="9">
        <v>27625000000</v>
      </c>
      <c r="K88" s="9">
        <v>25113636363.63636</v>
      </c>
      <c r="L88" s="9">
        <v>2511363636.3636394</v>
      </c>
      <c r="M88" s="11">
        <v>0.085</v>
      </c>
      <c r="N88" s="9">
        <v>28838197916.666668</v>
      </c>
      <c r="O88" s="15" t="inlineStr">
        <is>
          <t xml:space="preserve">PASS</t>
        </is>
      </c>
      <c r="P88" s="0" t="inlineStr">
        <is>
          <t xml:space="preserve">ASM-CONSTRUCTION-SCHEDULE</t>
        </is>
      </c>
    </row>
    <row r="89">
      <c r="A89" s="0" t="inlineStr">
        <is>
          <t xml:space="preserve">VG-008</t>
        </is>
      </c>
      <c r="B89" s="23">
        <v>4</v>
      </c>
      <c r="C89" s="11">
        <v>0.12</v>
      </c>
      <c r="D89" s="9">
        <v>3315000000</v>
      </c>
      <c r="E89" s="9">
        <v>3013636363.636363</v>
      </c>
      <c r="F89" s="9">
        <v>301363636.36363673</v>
      </c>
      <c r="G89" s="9">
        <v>181446022.72727272</v>
      </c>
      <c r="H89" s="9">
        <v>9668750000</v>
      </c>
      <c r="I89" s="9">
        <v>602151751.8939394</v>
      </c>
      <c r="J89" s="9">
        <v>27625000000</v>
      </c>
      <c r="K89" s="9">
        <v>25113636363.63636</v>
      </c>
      <c r="L89" s="9">
        <v>2511363636.3636394</v>
      </c>
      <c r="M89" s="11">
        <v>0.085</v>
      </c>
      <c r="N89" s="9">
        <v>28838197916.666668</v>
      </c>
      <c r="O89" s="15" t="inlineStr">
        <is>
          <t xml:space="preserve">PASS</t>
        </is>
      </c>
      <c r="P89" s="0" t="inlineStr">
        <is>
          <t xml:space="preserve">ASM-CONSTRUCTION-SCHEDULE</t>
        </is>
      </c>
    </row>
    <row r="90">
      <c r="A90" s="0" t="inlineStr">
        <is>
          <t xml:space="preserve">VG-008</t>
        </is>
      </c>
      <c r="B90" s="23">
        <v>5</v>
      </c>
      <c r="C90" s="11">
        <v>0.14</v>
      </c>
      <c r="D90" s="9">
        <v>3867500000.0000005</v>
      </c>
      <c r="E90" s="9">
        <v>3515909090.909091</v>
      </c>
      <c r="F90" s="9">
        <v>351590909.09090954</v>
      </c>
      <c r="G90" s="9">
        <v>186782670.45454547</v>
      </c>
      <c r="H90" s="9">
        <v>13536250000</v>
      </c>
      <c r="I90" s="9">
        <v>788934422.3484849</v>
      </c>
      <c r="J90" s="9">
        <v>27625000000</v>
      </c>
      <c r="K90" s="9">
        <v>25113636363.63636</v>
      </c>
      <c r="L90" s="9">
        <v>2511363636.3636394</v>
      </c>
      <c r="M90" s="11">
        <v>0.085</v>
      </c>
      <c r="N90" s="9">
        <v>28838197916.666668</v>
      </c>
      <c r="O90" s="15" t="inlineStr">
        <is>
          <t xml:space="preserve">PASS</t>
        </is>
      </c>
      <c r="P90" s="0" t="inlineStr">
        <is>
          <t xml:space="preserve">ASM-CONSTRUCTION-SCHEDULE</t>
        </is>
      </c>
    </row>
    <row r="91">
      <c r="A91" s="0" t="inlineStr">
        <is>
          <t xml:space="preserve">VG-008</t>
        </is>
      </c>
      <c r="B91" s="23">
        <v>6</v>
      </c>
      <c r="C91" s="11">
        <v>0.14</v>
      </c>
      <c r="D91" s="9">
        <v>3867500000.0000005</v>
      </c>
      <c r="E91" s="9">
        <v>3515909090.909091</v>
      </c>
      <c r="F91" s="9">
        <v>351590909.09090954</v>
      </c>
      <c r="G91" s="9">
        <v>161878314.3939394</v>
      </c>
      <c r="H91" s="9">
        <v>17403750000</v>
      </c>
      <c r="I91" s="9">
        <v>950812736.7424242</v>
      </c>
      <c r="J91" s="9">
        <v>27625000000</v>
      </c>
      <c r="K91" s="9">
        <v>25113636363.63636</v>
      </c>
      <c r="L91" s="9">
        <v>2511363636.3636394</v>
      </c>
      <c r="M91" s="11">
        <v>0.085</v>
      </c>
      <c r="N91" s="9">
        <v>28838197916.666668</v>
      </c>
      <c r="O91" s="15" t="inlineStr">
        <is>
          <t xml:space="preserve">PASS</t>
        </is>
      </c>
      <c r="P91" s="0" t="inlineStr">
        <is>
          <t xml:space="preserve">ASM-CONSTRUCTION-SCHEDULE</t>
        </is>
      </c>
    </row>
    <row r="92">
      <c r="A92" s="0" t="inlineStr">
        <is>
          <t xml:space="preserve">VG-008</t>
        </is>
      </c>
      <c r="B92" s="23">
        <v>7</v>
      </c>
      <c r="C92" s="11">
        <v>0.12</v>
      </c>
      <c r="D92" s="9">
        <v>3315000000</v>
      </c>
      <c r="E92" s="9">
        <v>3013636363.636363</v>
      </c>
      <c r="F92" s="9">
        <v>301363636.36363673</v>
      </c>
      <c r="G92" s="9">
        <v>117406249.99999999</v>
      </c>
      <c r="H92" s="9">
        <v>20718750000</v>
      </c>
      <c r="I92" s="9">
        <v>1068218986.7424242</v>
      </c>
      <c r="J92" s="9">
        <v>27625000000</v>
      </c>
      <c r="K92" s="9">
        <v>25113636363.63636</v>
      </c>
      <c r="L92" s="9">
        <v>2511363636.3636394</v>
      </c>
      <c r="M92" s="11">
        <v>0.085</v>
      </c>
      <c r="N92" s="9">
        <v>28838197916.666668</v>
      </c>
      <c r="O92" s="15" t="inlineStr">
        <is>
          <t xml:space="preserve">PASS</t>
        </is>
      </c>
      <c r="P92" s="0" t="inlineStr">
        <is>
          <t xml:space="preserve">ASM-CONSTRUCTION-SCHEDULE</t>
        </is>
      </c>
    </row>
    <row r="93">
      <c r="A93" s="0" t="inlineStr">
        <is>
          <t xml:space="preserve">VG-008</t>
        </is>
      </c>
      <c r="B93" s="23">
        <v>8</v>
      </c>
      <c r="C93" s="11">
        <v>0.1</v>
      </c>
      <c r="D93" s="9">
        <v>2762500000</v>
      </c>
      <c r="E93" s="9">
        <v>2511363636.363636</v>
      </c>
      <c r="F93" s="9">
        <v>251136363.63636395</v>
      </c>
      <c r="G93" s="9">
        <v>80049715.90909089</v>
      </c>
      <c r="H93" s="9">
        <v>23481250000</v>
      </c>
      <c r="I93" s="9">
        <v>1148268702.6515152</v>
      </c>
      <c r="J93" s="9">
        <v>27625000000</v>
      </c>
      <c r="K93" s="9">
        <v>25113636363.63636</v>
      </c>
      <c r="L93" s="9">
        <v>2511363636.3636394</v>
      </c>
      <c r="M93" s="11">
        <v>0.085</v>
      </c>
      <c r="N93" s="9">
        <v>28838197916.666668</v>
      </c>
      <c r="O93" s="15" t="inlineStr">
        <is>
          <t xml:space="preserve">PASS</t>
        </is>
      </c>
      <c r="P93" s="0" t="inlineStr">
        <is>
          <t xml:space="preserve">ASM-CONSTRUCTION-SCHEDULE</t>
        </is>
      </c>
    </row>
    <row r="94">
      <c r="A94" s="0" t="inlineStr">
        <is>
          <t xml:space="preserve">VG-008</t>
        </is>
      </c>
      <c r="B94" s="23">
        <v>9</v>
      </c>
      <c r="C94" s="11">
        <v>0.06</v>
      </c>
      <c r="D94" s="9">
        <v>1657500000</v>
      </c>
      <c r="E94" s="9">
        <v>1506818181.8181815</v>
      </c>
      <c r="F94" s="9">
        <v>150681818.18181837</v>
      </c>
      <c r="G94" s="9">
        <v>37356534.090909086</v>
      </c>
      <c r="H94" s="9">
        <v>25138750000</v>
      </c>
      <c r="I94" s="9">
        <v>1185625236.7424242</v>
      </c>
      <c r="J94" s="9">
        <v>27625000000</v>
      </c>
      <c r="K94" s="9">
        <v>25113636363.63636</v>
      </c>
      <c r="L94" s="9">
        <v>2511363636.3636394</v>
      </c>
      <c r="M94" s="11">
        <v>0.085</v>
      </c>
      <c r="N94" s="9">
        <v>28838197916.666668</v>
      </c>
      <c r="O94" s="15" t="inlineStr">
        <is>
          <t xml:space="preserve">PASS</t>
        </is>
      </c>
      <c r="P94" s="0" t="inlineStr">
        <is>
          <t xml:space="preserve">ASM-CONSTRUCTION-SCHEDULE</t>
        </is>
      </c>
    </row>
    <row r="95">
      <c r="A95" s="0" t="inlineStr">
        <is>
          <t xml:space="preserve">VG-008</t>
        </is>
      </c>
      <c r="B95" s="23">
        <v>10</v>
      </c>
      <c r="C95" s="11">
        <v>0.04</v>
      </c>
      <c r="D95" s="9">
        <v>1105000000</v>
      </c>
      <c r="E95" s="9">
        <v>1004545454.5454544</v>
      </c>
      <c r="F95" s="9">
        <v>100454545.45454557</v>
      </c>
      <c r="G95" s="9">
        <v>17788825.757575754</v>
      </c>
      <c r="H95" s="9">
        <v>26243750000</v>
      </c>
      <c r="I95" s="9">
        <v>1203414062.5</v>
      </c>
      <c r="J95" s="9">
        <v>27625000000</v>
      </c>
      <c r="K95" s="9">
        <v>25113636363.63636</v>
      </c>
      <c r="L95" s="9">
        <v>2511363636.3636394</v>
      </c>
      <c r="M95" s="11">
        <v>0.085</v>
      </c>
      <c r="N95" s="9">
        <v>28838197916.666668</v>
      </c>
      <c r="O95" s="15" t="inlineStr">
        <is>
          <t xml:space="preserve">PASS</t>
        </is>
      </c>
      <c r="P95" s="0" t="inlineStr">
        <is>
          <t xml:space="preserve">ASM-CONSTRUCTION-SCHEDULE</t>
        </is>
      </c>
    </row>
    <row r="96">
      <c r="A96" s="0" t="inlineStr">
        <is>
          <t xml:space="preserve">VG-008</t>
        </is>
      </c>
      <c r="B96" s="23">
        <v>11</v>
      </c>
      <c r="C96" s="11">
        <v>0.03</v>
      </c>
      <c r="D96" s="9">
        <v>828750000</v>
      </c>
      <c r="E96" s="9">
        <v>753409090.9090908</v>
      </c>
      <c r="F96" s="9">
        <v>75340909.09090918</v>
      </c>
      <c r="G96" s="9">
        <v>8004971.59090909</v>
      </c>
      <c r="H96" s="9">
        <v>27072500000</v>
      </c>
      <c r="I96" s="9">
        <v>1211419034.090909</v>
      </c>
      <c r="J96" s="9">
        <v>27625000000</v>
      </c>
      <c r="K96" s="9">
        <v>25113636363.63636</v>
      </c>
      <c r="L96" s="9">
        <v>2511363636.3636394</v>
      </c>
      <c r="M96" s="11">
        <v>0.085</v>
      </c>
      <c r="N96" s="9">
        <v>28838197916.666668</v>
      </c>
      <c r="O96" s="15" t="inlineStr">
        <is>
          <t xml:space="preserve">PASS</t>
        </is>
      </c>
      <c r="P96" s="0" t="inlineStr">
        <is>
          <t xml:space="preserve">ASM-CONSTRUCTION-SCHEDULE</t>
        </is>
      </c>
    </row>
    <row r="97">
      <c r="A97" s="0" t="inlineStr">
        <is>
          <t xml:space="preserve">VG-008</t>
        </is>
      </c>
      <c r="B97" s="23">
        <v>12</v>
      </c>
      <c r="C97" s="11">
        <v>0.02</v>
      </c>
      <c r="D97" s="9">
        <v>552500000</v>
      </c>
      <c r="E97" s="9">
        <v>502272727.2727272</v>
      </c>
      <c r="F97" s="9">
        <v>50227272.727272786</v>
      </c>
      <c r="G97" s="9">
        <v>1778882.5757575755</v>
      </c>
      <c r="H97" s="9">
        <v>27625000000</v>
      </c>
      <c r="I97" s="9">
        <v>1213197916.6666665</v>
      </c>
      <c r="J97" s="9">
        <v>27625000000</v>
      </c>
      <c r="K97" s="9">
        <v>25113636363.63636</v>
      </c>
      <c r="L97" s="9">
        <v>2511363636.3636394</v>
      </c>
      <c r="M97" s="11">
        <v>0.085</v>
      </c>
      <c r="N97" s="9">
        <v>28838197916.666668</v>
      </c>
      <c r="O97" s="15" t="inlineStr">
        <is>
          <t xml:space="preserve">PASS</t>
        </is>
      </c>
      <c r="P97" s="0" t="inlineStr">
        <is>
          <t xml:space="preserve">ASM-CONSTRUCTION-SCHEDULE</t>
        </is>
      </c>
    </row>
    <row r="98">
      <c r="A98" s="0" t="inlineStr">
        <is>
          <t xml:space="preserve">VG-009</t>
        </is>
      </c>
      <c r="B98" s="23">
        <v>1</v>
      </c>
      <c r="C98" s="11">
        <v>0.05</v>
      </c>
      <c r="D98" s="9">
        <v>1381250000</v>
      </c>
      <c r="E98" s="9">
        <v>1255681818.181818</v>
      </c>
      <c r="F98" s="9">
        <v>125568181.81818198</v>
      </c>
      <c r="G98" s="9">
        <v>102285748.10606058</v>
      </c>
      <c r="H98" s="9">
        <v>1381250000</v>
      </c>
      <c r="I98" s="9">
        <v>102285748.10606058</v>
      </c>
      <c r="J98" s="9">
        <v>27625000000</v>
      </c>
      <c r="K98" s="9">
        <v>25113636363.63636</v>
      </c>
      <c r="L98" s="9">
        <v>2511363636.3636394</v>
      </c>
      <c r="M98" s="11">
        <v>0.085</v>
      </c>
      <c r="N98" s="9">
        <v>28838197916.666668</v>
      </c>
      <c r="O98" s="15" t="inlineStr">
        <is>
          <t xml:space="preserve">PASS</t>
        </is>
      </c>
      <c r="P98" s="0" t="inlineStr">
        <is>
          <t xml:space="preserve">ASM-CONSTRUCTION-SCHEDULE</t>
        </is>
      </c>
    </row>
    <row r="99">
      <c r="A99" s="0" t="inlineStr">
        <is>
          <t xml:space="preserve">VG-009</t>
        </is>
      </c>
      <c r="B99" s="23">
        <v>2</v>
      </c>
      <c r="C99" s="11">
        <v>0.08</v>
      </c>
      <c r="D99" s="9">
        <v>2210000000</v>
      </c>
      <c r="E99" s="9">
        <v>2009090909.0909088</v>
      </c>
      <c r="F99" s="9">
        <v>200909090.90909114</v>
      </c>
      <c r="G99" s="9">
        <v>149426136.36363634</v>
      </c>
      <c r="H99" s="9">
        <v>3591250000</v>
      </c>
      <c r="I99" s="9">
        <v>251711884.46969694</v>
      </c>
      <c r="J99" s="9">
        <v>27625000000</v>
      </c>
      <c r="K99" s="9">
        <v>25113636363.63636</v>
      </c>
      <c r="L99" s="9">
        <v>2511363636.3636394</v>
      </c>
      <c r="M99" s="11">
        <v>0.085</v>
      </c>
      <c r="N99" s="9">
        <v>28838197916.666668</v>
      </c>
      <c r="O99" s="15" t="inlineStr">
        <is>
          <t xml:space="preserve">PASS</t>
        </is>
      </c>
      <c r="P99" s="0" t="inlineStr">
        <is>
          <t xml:space="preserve">ASM-CONSTRUCTION-SCHEDULE</t>
        </is>
      </c>
    </row>
    <row r="100">
      <c r="A100" s="0" t="inlineStr">
        <is>
          <t xml:space="preserve">VG-009</t>
        </is>
      </c>
      <c r="B100" s="23">
        <v>3</v>
      </c>
      <c r="C100" s="11">
        <v>0.1</v>
      </c>
      <c r="D100" s="9">
        <v>2762500000</v>
      </c>
      <c r="E100" s="9">
        <v>2511363636.363636</v>
      </c>
      <c r="F100" s="9">
        <v>251136363.63636395</v>
      </c>
      <c r="G100" s="9">
        <v>168993844.69696966</v>
      </c>
      <c r="H100" s="9">
        <v>6353750000</v>
      </c>
      <c r="I100" s="9">
        <v>420705729.1666666</v>
      </c>
      <c r="J100" s="9">
        <v>27625000000</v>
      </c>
      <c r="K100" s="9">
        <v>25113636363.63636</v>
      </c>
      <c r="L100" s="9">
        <v>2511363636.3636394</v>
      </c>
      <c r="M100" s="11">
        <v>0.085</v>
      </c>
      <c r="N100" s="9">
        <v>28838197916.666668</v>
      </c>
      <c r="O100" s="15" t="inlineStr">
        <is>
          <t xml:space="preserve">PASS</t>
        </is>
      </c>
      <c r="P100" s="0" t="inlineStr">
        <is>
          <t xml:space="preserve">ASM-CONSTRUCTION-SCHEDULE</t>
        </is>
      </c>
    </row>
    <row r="101">
      <c r="A101" s="0" t="inlineStr">
        <is>
          <t xml:space="preserve">VG-009</t>
        </is>
      </c>
      <c r="B101" s="23">
        <v>4</v>
      </c>
      <c r="C101" s="11">
        <v>0.12</v>
      </c>
      <c r="D101" s="9">
        <v>3315000000</v>
      </c>
      <c r="E101" s="9">
        <v>3013636363.636363</v>
      </c>
      <c r="F101" s="9">
        <v>301363636.36363673</v>
      </c>
      <c r="G101" s="9">
        <v>181446022.72727272</v>
      </c>
      <c r="H101" s="9">
        <v>9668750000</v>
      </c>
      <c r="I101" s="9">
        <v>602151751.8939394</v>
      </c>
      <c r="J101" s="9">
        <v>27625000000</v>
      </c>
      <c r="K101" s="9">
        <v>25113636363.63636</v>
      </c>
      <c r="L101" s="9">
        <v>2511363636.3636394</v>
      </c>
      <c r="M101" s="11">
        <v>0.085</v>
      </c>
      <c r="N101" s="9">
        <v>28838197916.666668</v>
      </c>
      <c r="O101" s="15" t="inlineStr">
        <is>
          <t xml:space="preserve">PASS</t>
        </is>
      </c>
      <c r="P101" s="0" t="inlineStr">
        <is>
          <t xml:space="preserve">ASM-CONSTRUCTION-SCHEDULE</t>
        </is>
      </c>
    </row>
    <row r="102">
      <c r="A102" s="0" t="inlineStr">
        <is>
          <t xml:space="preserve">VG-009</t>
        </is>
      </c>
      <c r="B102" s="23">
        <v>5</v>
      </c>
      <c r="C102" s="11">
        <v>0.14</v>
      </c>
      <c r="D102" s="9">
        <v>3867500000.0000005</v>
      </c>
      <c r="E102" s="9">
        <v>3515909090.909091</v>
      </c>
      <c r="F102" s="9">
        <v>351590909.09090954</v>
      </c>
      <c r="G102" s="9">
        <v>186782670.45454547</v>
      </c>
      <c r="H102" s="9">
        <v>13536250000</v>
      </c>
      <c r="I102" s="9">
        <v>788934422.3484849</v>
      </c>
      <c r="J102" s="9">
        <v>27625000000</v>
      </c>
      <c r="K102" s="9">
        <v>25113636363.63636</v>
      </c>
      <c r="L102" s="9">
        <v>2511363636.3636394</v>
      </c>
      <c r="M102" s="11">
        <v>0.085</v>
      </c>
      <c r="N102" s="9">
        <v>28838197916.666668</v>
      </c>
      <c r="O102" s="15" t="inlineStr">
        <is>
          <t xml:space="preserve">PASS</t>
        </is>
      </c>
      <c r="P102" s="0" t="inlineStr">
        <is>
          <t xml:space="preserve">ASM-CONSTRUCTION-SCHEDULE</t>
        </is>
      </c>
    </row>
    <row r="103">
      <c r="A103" s="0" t="inlineStr">
        <is>
          <t xml:space="preserve">VG-009</t>
        </is>
      </c>
      <c r="B103" s="23">
        <v>6</v>
      </c>
      <c r="C103" s="11">
        <v>0.14</v>
      </c>
      <c r="D103" s="9">
        <v>3867500000.0000005</v>
      </c>
      <c r="E103" s="9">
        <v>3515909090.909091</v>
      </c>
      <c r="F103" s="9">
        <v>351590909.09090954</v>
      </c>
      <c r="G103" s="9">
        <v>161878314.3939394</v>
      </c>
      <c r="H103" s="9">
        <v>17403750000</v>
      </c>
      <c r="I103" s="9">
        <v>950812736.7424242</v>
      </c>
      <c r="J103" s="9">
        <v>27625000000</v>
      </c>
      <c r="K103" s="9">
        <v>25113636363.63636</v>
      </c>
      <c r="L103" s="9">
        <v>2511363636.3636394</v>
      </c>
      <c r="M103" s="11">
        <v>0.085</v>
      </c>
      <c r="N103" s="9">
        <v>28838197916.666668</v>
      </c>
      <c r="O103" s="15" t="inlineStr">
        <is>
          <t xml:space="preserve">PASS</t>
        </is>
      </c>
      <c r="P103" s="0" t="inlineStr">
        <is>
          <t xml:space="preserve">ASM-CONSTRUCTION-SCHEDULE</t>
        </is>
      </c>
    </row>
    <row r="104">
      <c r="A104" s="0" t="inlineStr">
        <is>
          <t xml:space="preserve">VG-009</t>
        </is>
      </c>
      <c r="B104" s="23">
        <v>7</v>
      </c>
      <c r="C104" s="11">
        <v>0.12</v>
      </c>
      <c r="D104" s="9">
        <v>3315000000</v>
      </c>
      <c r="E104" s="9">
        <v>3013636363.636363</v>
      </c>
      <c r="F104" s="9">
        <v>301363636.36363673</v>
      </c>
      <c r="G104" s="9">
        <v>117406249.99999999</v>
      </c>
      <c r="H104" s="9">
        <v>20718750000</v>
      </c>
      <c r="I104" s="9">
        <v>1068218986.7424242</v>
      </c>
      <c r="J104" s="9">
        <v>27625000000</v>
      </c>
      <c r="K104" s="9">
        <v>25113636363.63636</v>
      </c>
      <c r="L104" s="9">
        <v>2511363636.3636394</v>
      </c>
      <c r="M104" s="11">
        <v>0.085</v>
      </c>
      <c r="N104" s="9">
        <v>28838197916.666668</v>
      </c>
      <c r="O104" s="15" t="inlineStr">
        <is>
          <t xml:space="preserve">PASS</t>
        </is>
      </c>
      <c r="P104" s="0" t="inlineStr">
        <is>
          <t xml:space="preserve">ASM-CONSTRUCTION-SCHEDULE</t>
        </is>
      </c>
    </row>
    <row r="105">
      <c r="A105" s="0" t="inlineStr">
        <is>
          <t xml:space="preserve">VG-009</t>
        </is>
      </c>
      <c r="B105" s="23">
        <v>8</v>
      </c>
      <c r="C105" s="11">
        <v>0.1</v>
      </c>
      <c r="D105" s="9">
        <v>2762500000</v>
      </c>
      <c r="E105" s="9">
        <v>2511363636.363636</v>
      </c>
      <c r="F105" s="9">
        <v>251136363.63636395</v>
      </c>
      <c r="G105" s="9">
        <v>80049715.90909089</v>
      </c>
      <c r="H105" s="9">
        <v>23481250000</v>
      </c>
      <c r="I105" s="9">
        <v>1148268702.6515152</v>
      </c>
      <c r="J105" s="9">
        <v>27625000000</v>
      </c>
      <c r="K105" s="9">
        <v>25113636363.63636</v>
      </c>
      <c r="L105" s="9">
        <v>2511363636.3636394</v>
      </c>
      <c r="M105" s="11">
        <v>0.085</v>
      </c>
      <c r="N105" s="9">
        <v>28838197916.666668</v>
      </c>
      <c r="O105" s="15" t="inlineStr">
        <is>
          <t xml:space="preserve">PASS</t>
        </is>
      </c>
      <c r="P105" s="0" t="inlineStr">
        <is>
          <t xml:space="preserve">ASM-CONSTRUCTION-SCHEDULE</t>
        </is>
      </c>
    </row>
    <row r="106">
      <c r="A106" s="0" t="inlineStr">
        <is>
          <t xml:space="preserve">VG-009</t>
        </is>
      </c>
      <c r="B106" s="23">
        <v>9</v>
      </c>
      <c r="C106" s="11">
        <v>0.06</v>
      </c>
      <c r="D106" s="9">
        <v>1657500000</v>
      </c>
      <c r="E106" s="9">
        <v>1506818181.8181815</v>
      </c>
      <c r="F106" s="9">
        <v>150681818.18181837</v>
      </c>
      <c r="G106" s="9">
        <v>37356534.090909086</v>
      </c>
      <c r="H106" s="9">
        <v>25138750000</v>
      </c>
      <c r="I106" s="9">
        <v>1185625236.7424242</v>
      </c>
      <c r="J106" s="9">
        <v>27625000000</v>
      </c>
      <c r="K106" s="9">
        <v>25113636363.63636</v>
      </c>
      <c r="L106" s="9">
        <v>2511363636.3636394</v>
      </c>
      <c r="M106" s="11">
        <v>0.085</v>
      </c>
      <c r="N106" s="9">
        <v>28838197916.666668</v>
      </c>
      <c r="O106" s="15" t="inlineStr">
        <is>
          <t xml:space="preserve">PASS</t>
        </is>
      </c>
      <c r="P106" s="0" t="inlineStr">
        <is>
          <t xml:space="preserve">ASM-CONSTRUCTION-SCHEDULE</t>
        </is>
      </c>
    </row>
    <row r="107">
      <c r="A107" s="0" t="inlineStr">
        <is>
          <t xml:space="preserve">VG-009</t>
        </is>
      </c>
      <c r="B107" s="23">
        <v>10</v>
      </c>
      <c r="C107" s="11">
        <v>0.04</v>
      </c>
      <c r="D107" s="9">
        <v>1105000000</v>
      </c>
      <c r="E107" s="9">
        <v>1004545454.5454544</v>
      </c>
      <c r="F107" s="9">
        <v>100454545.45454557</v>
      </c>
      <c r="G107" s="9">
        <v>17788825.757575754</v>
      </c>
      <c r="H107" s="9">
        <v>26243750000</v>
      </c>
      <c r="I107" s="9">
        <v>1203414062.5</v>
      </c>
      <c r="J107" s="9">
        <v>27625000000</v>
      </c>
      <c r="K107" s="9">
        <v>25113636363.63636</v>
      </c>
      <c r="L107" s="9">
        <v>2511363636.3636394</v>
      </c>
      <c r="M107" s="11">
        <v>0.085</v>
      </c>
      <c r="N107" s="9">
        <v>28838197916.666668</v>
      </c>
      <c r="O107" s="15" t="inlineStr">
        <is>
          <t xml:space="preserve">PASS</t>
        </is>
      </c>
      <c r="P107" s="0" t="inlineStr">
        <is>
          <t xml:space="preserve">ASM-CONSTRUCTION-SCHEDULE</t>
        </is>
      </c>
    </row>
    <row r="108">
      <c r="A108" s="0" t="inlineStr">
        <is>
          <t xml:space="preserve">VG-009</t>
        </is>
      </c>
      <c r="B108" s="23">
        <v>11</v>
      </c>
      <c r="C108" s="11">
        <v>0.03</v>
      </c>
      <c r="D108" s="9">
        <v>828750000</v>
      </c>
      <c r="E108" s="9">
        <v>753409090.9090908</v>
      </c>
      <c r="F108" s="9">
        <v>75340909.09090918</v>
      </c>
      <c r="G108" s="9">
        <v>8004971.59090909</v>
      </c>
      <c r="H108" s="9">
        <v>27072500000</v>
      </c>
      <c r="I108" s="9">
        <v>1211419034.090909</v>
      </c>
      <c r="J108" s="9">
        <v>27625000000</v>
      </c>
      <c r="K108" s="9">
        <v>25113636363.63636</v>
      </c>
      <c r="L108" s="9">
        <v>2511363636.3636394</v>
      </c>
      <c r="M108" s="11">
        <v>0.085</v>
      </c>
      <c r="N108" s="9">
        <v>28838197916.666668</v>
      </c>
      <c r="O108" s="15" t="inlineStr">
        <is>
          <t xml:space="preserve">PASS</t>
        </is>
      </c>
      <c r="P108" s="0" t="inlineStr">
        <is>
          <t xml:space="preserve">ASM-CONSTRUCTION-SCHEDULE</t>
        </is>
      </c>
    </row>
    <row r="109">
      <c r="A109" s="0" t="inlineStr">
        <is>
          <t xml:space="preserve">VG-009</t>
        </is>
      </c>
      <c r="B109" s="23">
        <v>12</v>
      </c>
      <c r="C109" s="11">
        <v>0.02</v>
      </c>
      <c r="D109" s="9">
        <v>552500000</v>
      </c>
      <c r="E109" s="9">
        <v>502272727.2727272</v>
      </c>
      <c r="F109" s="9">
        <v>50227272.727272786</v>
      </c>
      <c r="G109" s="9">
        <v>1778882.5757575755</v>
      </c>
      <c r="H109" s="9">
        <v>27625000000</v>
      </c>
      <c r="I109" s="9">
        <v>1213197916.6666665</v>
      </c>
      <c r="J109" s="9">
        <v>27625000000</v>
      </c>
      <c r="K109" s="9">
        <v>25113636363.63636</v>
      </c>
      <c r="L109" s="9">
        <v>2511363636.3636394</v>
      </c>
      <c r="M109" s="11">
        <v>0.085</v>
      </c>
      <c r="N109" s="9">
        <v>28838197916.666668</v>
      </c>
      <c r="O109" s="15" t="inlineStr">
        <is>
          <t xml:space="preserve">PASS</t>
        </is>
      </c>
      <c r="P109" s="0" t="inlineStr">
        <is>
          <t xml:space="preserve">ASM-CONSTRUCTION-SCHEDULE</t>
        </is>
      </c>
    </row>
    <row r="110">
      <c r="A110" s="0" t="inlineStr">
        <is>
          <t xml:space="preserve">VG-010</t>
        </is>
      </c>
      <c r="B110" s="23">
        <v>1</v>
      </c>
      <c r="C110" s="11">
        <v>0.05</v>
      </c>
      <c r="D110" s="9">
        <v>1381250000</v>
      </c>
      <c r="E110" s="9">
        <v>1255681818.181818</v>
      </c>
      <c r="F110" s="9">
        <v>125568181.81818198</v>
      </c>
      <c r="G110" s="9">
        <v>102285748.10606058</v>
      </c>
      <c r="H110" s="9">
        <v>1381250000</v>
      </c>
      <c r="I110" s="9">
        <v>102285748.10606058</v>
      </c>
      <c r="J110" s="9">
        <v>27625000000</v>
      </c>
      <c r="K110" s="9">
        <v>25113636363.63636</v>
      </c>
      <c r="L110" s="9">
        <v>2511363636.3636394</v>
      </c>
      <c r="M110" s="11">
        <v>0.085</v>
      </c>
      <c r="N110" s="9">
        <v>28838197916.666668</v>
      </c>
      <c r="O110" s="15" t="inlineStr">
        <is>
          <t xml:space="preserve">PASS</t>
        </is>
      </c>
      <c r="P110" s="0" t="inlineStr">
        <is>
          <t xml:space="preserve">ASM-CONSTRUCTION-SCHEDULE</t>
        </is>
      </c>
    </row>
    <row r="111">
      <c r="A111" s="0" t="inlineStr">
        <is>
          <t xml:space="preserve">VG-010</t>
        </is>
      </c>
      <c r="B111" s="23">
        <v>2</v>
      </c>
      <c r="C111" s="11">
        <v>0.08</v>
      </c>
      <c r="D111" s="9">
        <v>2210000000</v>
      </c>
      <c r="E111" s="9">
        <v>2009090909.0909088</v>
      </c>
      <c r="F111" s="9">
        <v>200909090.90909114</v>
      </c>
      <c r="G111" s="9">
        <v>149426136.36363634</v>
      </c>
      <c r="H111" s="9">
        <v>3591250000</v>
      </c>
      <c r="I111" s="9">
        <v>251711884.46969694</v>
      </c>
      <c r="J111" s="9">
        <v>27625000000</v>
      </c>
      <c r="K111" s="9">
        <v>25113636363.63636</v>
      </c>
      <c r="L111" s="9">
        <v>2511363636.3636394</v>
      </c>
      <c r="M111" s="11">
        <v>0.085</v>
      </c>
      <c r="N111" s="9">
        <v>28838197916.666668</v>
      </c>
      <c r="O111" s="15" t="inlineStr">
        <is>
          <t xml:space="preserve">PASS</t>
        </is>
      </c>
      <c r="P111" s="0" t="inlineStr">
        <is>
          <t xml:space="preserve">ASM-CONSTRUCTION-SCHEDULE</t>
        </is>
      </c>
    </row>
    <row r="112">
      <c r="A112" s="0" t="inlineStr">
        <is>
          <t xml:space="preserve">VG-010</t>
        </is>
      </c>
      <c r="B112" s="23">
        <v>3</v>
      </c>
      <c r="C112" s="11">
        <v>0.1</v>
      </c>
      <c r="D112" s="9">
        <v>2762500000</v>
      </c>
      <c r="E112" s="9">
        <v>2511363636.363636</v>
      </c>
      <c r="F112" s="9">
        <v>251136363.63636395</v>
      </c>
      <c r="G112" s="9">
        <v>168993844.69696966</v>
      </c>
      <c r="H112" s="9">
        <v>6353750000</v>
      </c>
      <c r="I112" s="9">
        <v>420705729.1666666</v>
      </c>
      <c r="J112" s="9">
        <v>27625000000</v>
      </c>
      <c r="K112" s="9">
        <v>25113636363.63636</v>
      </c>
      <c r="L112" s="9">
        <v>2511363636.3636394</v>
      </c>
      <c r="M112" s="11">
        <v>0.085</v>
      </c>
      <c r="N112" s="9">
        <v>28838197916.666668</v>
      </c>
      <c r="O112" s="15" t="inlineStr">
        <is>
          <t xml:space="preserve">PASS</t>
        </is>
      </c>
      <c r="P112" s="0" t="inlineStr">
        <is>
          <t xml:space="preserve">ASM-CONSTRUCTION-SCHEDULE</t>
        </is>
      </c>
    </row>
    <row r="113">
      <c r="A113" s="0" t="inlineStr">
        <is>
          <t xml:space="preserve">VG-010</t>
        </is>
      </c>
      <c r="B113" s="23">
        <v>4</v>
      </c>
      <c r="C113" s="11">
        <v>0.12</v>
      </c>
      <c r="D113" s="9">
        <v>3315000000</v>
      </c>
      <c r="E113" s="9">
        <v>3013636363.636363</v>
      </c>
      <c r="F113" s="9">
        <v>301363636.36363673</v>
      </c>
      <c r="G113" s="9">
        <v>181446022.72727272</v>
      </c>
      <c r="H113" s="9">
        <v>9668750000</v>
      </c>
      <c r="I113" s="9">
        <v>602151751.8939394</v>
      </c>
      <c r="J113" s="9">
        <v>27625000000</v>
      </c>
      <c r="K113" s="9">
        <v>25113636363.63636</v>
      </c>
      <c r="L113" s="9">
        <v>2511363636.3636394</v>
      </c>
      <c r="M113" s="11">
        <v>0.085</v>
      </c>
      <c r="N113" s="9">
        <v>28838197916.666668</v>
      </c>
      <c r="O113" s="15" t="inlineStr">
        <is>
          <t xml:space="preserve">PASS</t>
        </is>
      </c>
      <c r="P113" s="0" t="inlineStr">
        <is>
          <t xml:space="preserve">ASM-CONSTRUCTION-SCHEDULE</t>
        </is>
      </c>
    </row>
    <row r="114">
      <c r="A114" s="0" t="inlineStr">
        <is>
          <t xml:space="preserve">VG-010</t>
        </is>
      </c>
      <c r="B114" s="23">
        <v>5</v>
      </c>
      <c r="C114" s="11">
        <v>0.14</v>
      </c>
      <c r="D114" s="9">
        <v>3867500000.0000005</v>
      </c>
      <c r="E114" s="9">
        <v>3515909090.909091</v>
      </c>
      <c r="F114" s="9">
        <v>351590909.09090954</v>
      </c>
      <c r="G114" s="9">
        <v>186782670.45454547</v>
      </c>
      <c r="H114" s="9">
        <v>13536250000</v>
      </c>
      <c r="I114" s="9">
        <v>788934422.3484849</v>
      </c>
      <c r="J114" s="9">
        <v>27625000000</v>
      </c>
      <c r="K114" s="9">
        <v>25113636363.63636</v>
      </c>
      <c r="L114" s="9">
        <v>2511363636.3636394</v>
      </c>
      <c r="M114" s="11">
        <v>0.085</v>
      </c>
      <c r="N114" s="9">
        <v>28838197916.666668</v>
      </c>
      <c r="O114" s="15" t="inlineStr">
        <is>
          <t xml:space="preserve">PASS</t>
        </is>
      </c>
      <c r="P114" s="0" t="inlineStr">
        <is>
          <t xml:space="preserve">ASM-CONSTRUCTION-SCHEDULE</t>
        </is>
      </c>
    </row>
    <row r="115">
      <c r="A115" s="0" t="inlineStr">
        <is>
          <t xml:space="preserve">VG-010</t>
        </is>
      </c>
      <c r="B115" s="23">
        <v>6</v>
      </c>
      <c r="C115" s="11">
        <v>0.14</v>
      </c>
      <c r="D115" s="9">
        <v>3867500000.0000005</v>
      </c>
      <c r="E115" s="9">
        <v>3515909090.909091</v>
      </c>
      <c r="F115" s="9">
        <v>351590909.09090954</v>
      </c>
      <c r="G115" s="9">
        <v>161878314.3939394</v>
      </c>
      <c r="H115" s="9">
        <v>17403750000</v>
      </c>
      <c r="I115" s="9">
        <v>950812736.7424242</v>
      </c>
      <c r="J115" s="9">
        <v>27625000000</v>
      </c>
      <c r="K115" s="9">
        <v>25113636363.63636</v>
      </c>
      <c r="L115" s="9">
        <v>2511363636.3636394</v>
      </c>
      <c r="M115" s="11">
        <v>0.085</v>
      </c>
      <c r="N115" s="9">
        <v>28838197916.666668</v>
      </c>
      <c r="O115" s="15" t="inlineStr">
        <is>
          <t xml:space="preserve">PASS</t>
        </is>
      </c>
      <c r="P115" s="0" t="inlineStr">
        <is>
          <t xml:space="preserve">ASM-CONSTRUCTION-SCHEDULE</t>
        </is>
      </c>
    </row>
    <row r="116">
      <c r="A116" s="0" t="inlineStr">
        <is>
          <t xml:space="preserve">VG-010</t>
        </is>
      </c>
      <c r="B116" s="23">
        <v>7</v>
      </c>
      <c r="C116" s="11">
        <v>0.12</v>
      </c>
      <c r="D116" s="9">
        <v>3315000000</v>
      </c>
      <c r="E116" s="9">
        <v>3013636363.636363</v>
      </c>
      <c r="F116" s="9">
        <v>301363636.36363673</v>
      </c>
      <c r="G116" s="9">
        <v>117406249.99999999</v>
      </c>
      <c r="H116" s="9">
        <v>20718750000</v>
      </c>
      <c r="I116" s="9">
        <v>1068218986.7424242</v>
      </c>
      <c r="J116" s="9">
        <v>27625000000</v>
      </c>
      <c r="K116" s="9">
        <v>25113636363.63636</v>
      </c>
      <c r="L116" s="9">
        <v>2511363636.3636394</v>
      </c>
      <c r="M116" s="11">
        <v>0.085</v>
      </c>
      <c r="N116" s="9">
        <v>28838197916.666668</v>
      </c>
      <c r="O116" s="15" t="inlineStr">
        <is>
          <t xml:space="preserve">PASS</t>
        </is>
      </c>
      <c r="P116" s="0" t="inlineStr">
        <is>
          <t xml:space="preserve">ASM-CONSTRUCTION-SCHEDULE</t>
        </is>
      </c>
    </row>
    <row r="117">
      <c r="A117" s="0" t="inlineStr">
        <is>
          <t xml:space="preserve">VG-010</t>
        </is>
      </c>
      <c r="B117" s="23">
        <v>8</v>
      </c>
      <c r="C117" s="11">
        <v>0.1</v>
      </c>
      <c r="D117" s="9">
        <v>2762500000</v>
      </c>
      <c r="E117" s="9">
        <v>2511363636.363636</v>
      </c>
      <c r="F117" s="9">
        <v>251136363.63636395</v>
      </c>
      <c r="G117" s="9">
        <v>80049715.90909089</v>
      </c>
      <c r="H117" s="9">
        <v>23481250000</v>
      </c>
      <c r="I117" s="9">
        <v>1148268702.6515152</v>
      </c>
      <c r="J117" s="9">
        <v>27625000000</v>
      </c>
      <c r="K117" s="9">
        <v>25113636363.63636</v>
      </c>
      <c r="L117" s="9">
        <v>2511363636.3636394</v>
      </c>
      <c r="M117" s="11">
        <v>0.085</v>
      </c>
      <c r="N117" s="9">
        <v>28838197916.666668</v>
      </c>
      <c r="O117" s="15" t="inlineStr">
        <is>
          <t xml:space="preserve">PASS</t>
        </is>
      </c>
      <c r="P117" s="0" t="inlineStr">
        <is>
          <t xml:space="preserve">ASM-CONSTRUCTION-SCHEDULE</t>
        </is>
      </c>
    </row>
    <row r="118">
      <c r="A118" s="0" t="inlineStr">
        <is>
          <t xml:space="preserve">VG-010</t>
        </is>
      </c>
      <c r="B118" s="23">
        <v>9</v>
      </c>
      <c r="C118" s="11">
        <v>0.06</v>
      </c>
      <c r="D118" s="9">
        <v>1657500000</v>
      </c>
      <c r="E118" s="9">
        <v>1506818181.8181815</v>
      </c>
      <c r="F118" s="9">
        <v>150681818.18181837</v>
      </c>
      <c r="G118" s="9">
        <v>37356534.090909086</v>
      </c>
      <c r="H118" s="9">
        <v>25138750000</v>
      </c>
      <c r="I118" s="9">
        <v>1185625236.7424242</v>
      </c>
      <c r="J118" s="9">
        <v>27625000000</v>
      </c>
      <c r="K118" s="9">
        <v>25113636363.63636</v>
      </c>
      <c r="L118" s="9">
        <v>2511363636.3636394</v>
      </c>
      <c r="M118" s="11">
        <v>0.085</v>
      </c>
      <c r="N118" s="9">
        <v>28838197916.666668</v>
      </c>
      <c r="O118" s="15" t="inlineStr">
        <is>
          <t xml:space="preserve">PASS</t>
        </is>
      </c>
      <c r="P118" s="0" t="inlineStr">
        <is>
          <t xml:space="preserve">ASM-CONSTRUCTION-SCHEDULE</t>
        </is>
      </c>
    </row>
    <row r="119">
      <c r="A119" s="0" t="inlineStr">
        <is>
          <t xml:space="preserve">VG-010</t>
        </is>
      </c>
      <c r="B119" s="23">
        <v>10</v>
      </c>
      <c r="C119" s="11">
        <v>0.04</v>
      </c>
      <c r="D119" s="9">
        <v>1105000000</v>
      </c>
      <c r="E119" s="9">
        <v>1004545454.5454544</v>
      </c>
      <c r="F119" s="9">
        <v>100454545.45454557</v>
      </c>
      <c r="G119" s="9">
        <v>17788825.757575754</v>
      </c>
      <c r="H119" s="9">
        <v>26243750000</v>
      </c>
      <c r="I119" s="9">
        <v>1203414062.5</v>
      </c>
      <c r="J119" s="9">
        <v>27625000000</v>
      </c>
      <c r="K119" s="9">
        <v>25113636363.63636</v>
      </c>
      <c r="L119" s="9">
        <v>2511363636.3636394</v>
      </c>
      <c r="M119" s="11">
        <v>0.085</v>
      </c>
      <c r="N119" s="9">
        <v>28838197916.666668</v>
      </c>
      <c r="O119" s="15" t="inlineStr">
        <is>
          <t xml:space="preserve">PASS</t>
        </is>
      </c>
      <c r="P119" s="0" t="inlineStr">
        <is>
          <t xml:space="preserve">ASM-CONSTRUCTION-SCHEDULE</t>
        </is>
      </c>
    </row>
    <row r="120">
      <c r="A120" s="0" t="inlineStr">
        <is>
          <t xml:space="preserve">VG-010</t>
        </is>
      </c>
      <c r="B120" s="23">
        <v>11</v>
      </c>
      <c r="C120" s="11">
        <v>0.03</v>
      </c>
      <c r="D120" s="9">
        <v>828750000</v>
      </c>
      <c r="E120" s="9">
        <v>753409090.9090908</v>
      </c>
      <c r="F120" s="9">
        <v>75340909.09090918</v>
      </c>
      <c r="G120" s="9">
        <v>8004971.59090909</v>
      </c>
      <c r="H120" s="9">
        <v>27072500000</v>
      </c>
      <c r="I120" s="9">
        <v>1211419034.090909</v>
      </c>
      <c r="J120" s="9">
        <v>27625000000</v>
      </c>
      <c r="K120" s="9">
        <v>25113636363.63636</v>
      </c>
      <c r="L120" s="9">
        <v>2511363636.3636394</v>
      </c>
      <c r="M120" s="11">
        <v>0.085</v>
      </c>
      <c r="N120" s="9">
        <v>28838197916.666668</v>
      </c>
      <c r="O120" s="15" t="inlineStr">
        <is>
          <t xml:space="preserve">PASS</t>
        </is>
      </c>
      <c r="P120" s="0" t="inlineStr">
        <is>
          <t xml:space="preserve">ASM-CONSTRUCTION-SCHEDULE</t>
        </is>
      </c>
    </row>
    <row r="121">
      <c r="A121" s="0" t="inlineStr">
        <is>
          <t xml:space="preserve">VG-010</t>
        </is>
      </c>
      <c r="B121" s="23">
        <v>12</v>
      </c>
      <c r="C121" s="11">
        <v>0.02</v>
      </c>
      <c r="D121" s="9">
        <v>552500000</v>
      </c>
      <c r="E121" s="9">
        <v>502272727.2727272</v>
      </c>
      <c r="F121" s="9">
        <v>50227272.727272786</v>
      </c>
      <c r="G121" s="9">
        <v>1778882.5757575755</v>
      </c>
      <c r="H121" s="9">
        <v>27625000000</v>
      </c>
      <c r="I121" s="9">
        <v>1213197916.6666665</v>
      </c>
      <c r="J121" s="9">
        <v>27625000000</v>
      </c>
      <c r="K121" s="9">
        <v>25113636363.63636</v>
      </c>
      <c r="L121" s="9">
        <v>2511363636.3636394</v>
      </c>
      <c r="M121" s="11">
        <v>0.085</v>
      </c>
      <c r="N121" s="9">
        <v>28838197916.666668</v>
      </c>
      <c r="O121" s="15" t="inlineStr">
        <is>
          <t xml:space="preserve">PASS</t>
        </is>
      </c>
      <c r="P121" s="0" t="inlineStr">
        <is>
          <t xml:space="preserve">ASM-CONSTRUCTION-SCHEDULE</t>
        </is>
      </c>
    </row>
    <row r="122">
      <c r="A122" s="0" t="inlineStr">
        <is>
          <t xml:space="preserve">VG-011</t>
        </is>
      </c>
      <c r="B122" s="23">
        <v>1</v>
      </c>
      <c r="C122" s="11">
        <v>0.05</v>
      </c>
      <c r="D122" s="9">
        <v>1275000000</v>
      </c>
      <c r="E122" s="9">
        <v>1159090909.090909</v>
      </c>
      <c r="F122" s="9">
        <v>115909090.90909106</v>
      </c>
      <c r="G122" s="9">
        <v>94417613.63636363</v>
      </c>
      <c r="H122" s="9">
        <v>1275000000</v>
      </c>
      <c r="I122" s="9">
        <v>94417613.63636363</v>
      </c>
      <c r="J122" s="9">
        <v>25500000000</v>
      </c>
      <c r="K122" s="9">
        <v>23181818181.81818</v>
      </c>
      <c r="L122" s="9">
        <v>2318181818.181821</v>
      </c>
      <c r="M122" s="11">
        <v>0.085</v>
      </c>
      <c r="N122" s="9">
        <v>26619875000</v>
      </c>
      <c r="O122" s="15" t="inlineStr">
        <is>
          <t xml:space="preserve">PASS</t>
        </is>
      </c>
      <c r="P122" s="0" t="inlineStr">
        <is>
          <t xml:space="preserve">ASM-CONSTRUCTION-SCHEDULE</t>
        </is>
      </c>
    </row>
    <row r="123">
      <c r="A123" s="0" t="inlineStr">
        <is>
          <t xml:space="preserve">VG-011</t>
        </is>
      </c>
      <c r="B123" s="23">
        <v>2</v>
      </c>
      <c r="C123" s="11">
        <v>0.08</v>
      </c>
      <c r="D123" s="9">
        <v>2040000000</v>
      </c>
      <c r="E123" s="9">
        <v>1854545454.5454545</v>
      </c>
      <c r="F123" s="9">
        <v>185454545.45454568</v>
      </c>
      <c r="G123" s="9">
        <v>137931818.18181822</v>
      </c>
      <c r="H123" s="9">
        <v>3315000000</v>
      </c>
      <c r="I123" s="9">
        <v>232349431.81818184</v>
      </c>
      <c r="J123" s="9">
        <v>25500000000</v>
      </c>
      <c r="K123" s="9">
        <v>23181818181.81818</v>
      </c>
      <c r="L123" s="9">
        <v>2318181818.181821</v>
      </c>
      <c r="M123" s="11">
        <v>0.085</v>
      </c>
      <c r="N123" s="9">
        <v>26619875000</v>
      </c>
      <c r="O123" s="15" t="inlineStr">
        <is>
          <t xml:space="preserve">PASS</t>
        </is>
      </c>
      <c r="P123" s="0" t="inlineStr">
        <is>
          <t xml:space="preserve">ASM-CONSTRUCTION-SCHEDULE</t>
        </is>
      </c>
    </row>
    <row r="124">
      <c r="A124" s="0" t="inlineStr">
        <is>
          <t xml:space="preserve">VG-011</t>
        </is>
      </c>
      <c r="B124" s="23">
        <v>3</v>
      </c>
      <c r="C124" s="11">
        <v>0.1</v>
      </c>
      <c r="D124" s="9">
        <v>2550000000</v>
      </c>
      <c r="E124" s="9">
        <v>2318181818.181818</v>
      </c>
      <c r="F124" s="9">
        <v>231818181.8181821</v>
      </c>
      <c r="G124" s="9">
        <v>155994318.18181816</v>
      </c>
      <c r="H124" s="9">
        <v>5865000000</v>
      </c>
      <c r="I124" s="9">
        <v>388343750</v>
      </c>
      <c r="J124" s="9">
        <v>25500000000</v>
      </c>
      <c r="K124" s="9">
        <v>23181818181.81818</v>
      </c>
      <c r="L124" s="9">
        <v>2318181818.181821</v>
      </c>
      <c r="M124" s="11">
        <v>0.085</v>
      </c>
      <c r="N124" s="9">
        <v>26619875000</v>
      </c>
      <c r="O124" s="15" t="inlineStr">
        <is>
          <t xml:space="preserve">PASS</t>
        </is>
      </c>
      <c r="P124" s="0" t="inlineStr">
        <is>
          <t xml:space="preserve">ASM-CONSTRUCTION-SCHEDULE</t>
        </is>
      </c>
    </row>
    <row r="125">
      <c r="A125" s="0" t="inlineStr">
        <is>
          <t xml:space="preserve">VG-011</t>
        </is>
      </c>
      <c r="B125" s="23">
        <v>4</v>
      </c>
      <c r="C125" s="11">
        <v>0.12</v>
      </c>
      <c r="D125" s="9">
        <v>3060000000</v>
      </c>
      <c r="E125" s="9">
        <v>2781818181.8181815</v>
      </c>
      <c r="F125" s="9">
        <v>278181818.1818185</v>
      </c>
      <c r="G125" s="9">
        <v>167488636.36363634</v>
      </c>
      <c r="H125" s="9">
        <v>8925000000</v>
      </c>
      <c r="I125" s="9">
        <v>555832386.3636364</v>
      </c>
      <c r="J125" s="9">
        <v>25500000000</v>
      </c>
      <c r="K125" s="9">
        <v>23181818181.81818</v>
      </c>
      <c r="L125" s="9">
        <v>2318181818.181821</v>
      </c>
      <c r="M125" s="11">
        <v>0.085</v>
      </c>
      <c r="N125" s="9">
        <v>26619875000</v>
      </c>
      <c r="O125" s="15" t="inlineStr">
        <is>
          <t xml:space="preserve">PASS</t>
        </is>
      </c>
      <c r="P125" s="0" t="inlineStr">
        <is>
          <t xml:space="preserve">ASM-CONSTRUCTION-SCHEDULE</t>
        </is>
      </c>
    </row>
    <row r="126">
      <c r="A126" s="0" t="inlineStr">
        <is>
          <t xml:space="preserve">VG-011</t>
        </is>
      </c>
      <c r="B126" s="23">
        <v>5</v>
      </c>
      <c r="C126" s="11">
        <v>0.14</v>
      </c>
      <c r="D126" s="9">
        <v>3570000000.0000005</v>
      </c>
      <c r="E126" s="9">
        <v>3245454545.4545455</v>
      </c>
      <c r="F126" s="9">
        <v>324545454.545455</v>
      </c>
      <c r="G126" s="9">
        <v>172414772.72727272</v>
      </c>
      <c r="H126" s="9">
        <v>12495000000</v>
      </c>
      <c r="I126" s="9">
        <v>728247159.0909091</v>
      </c>
      <c r="J126" s="9">
        <v>25500000000</v>
      </c>
      <c r="K126" s="9">
        <v>23181818181.81818</v>
      </c>
      <c r="L126" s="9">
        <v>2318181818.181821</v>
      </c>
      <c r="M126" s="11">
        <v>0.085</v>
      </c>
      <c r="N126" s="9">
        <v>26619875000</v>
      </c>
      <c r="O126" s="15" t="inlineStr">
        <is>
          <t xml:space="preserve">PASS</t>
        </is>
      </c>
      <c r="P126" s="0" t="inlineStr">
        <is>
          <t xml:space="preserve">ASM-CONSTRUCTION-SCHEDULE</t>
        </is>
      </c>
    </row>
    <row r="127">
      <c r="A127" s="0" t="inlineStr">
        <is>
          <t xml:space="preserve">VG-011</t>
        </is>
      </c>
      <c r="B127" s="23">
        <v>6</v>
      </c>
      <c r="C127" s="11">
        <v>0.14</v>
      </c>
      <c r="D127" s="9">
        <v>3570000000.0000005</v>
      </c>
      <c r="E127" s="9">
        <v>3245454545.4545455</v>
      </c>
      <c r="F127" s="9">
        <v>324545454.545455</v>
      </c>
      <c r="G127" s="9">
        <v>149426136.36363637</v>
      </c>
      <c r="H127" s="9">
        <v>16065000000</v>
      </c>
      <c r="I127" s="9">
        <v>877673295.4545455</v>
      </c>
      <c r="J127" s="9">
        <v>25500000000</v>
      </c>
      <c r="K127" s="9">
        <v>23181818181.81818</v>
      </c>
      <c r="L127" s="9">
        <v>2318181818.181821</v>
      </c>
      <c r="M127" s="11">
        <v>0.085</v>
      </c>
      <c r="N127" s="9">
        <v>26619875000</v>
      </c>
      <c r="O127" s="15" t="inlineStr">
        <is>
          <t xml:space="preserve">PASS</t>
        </is>
      </c>
      <c r="P127" s="0" t="inlineStr">
        <is>
          <t xml:space="preserve">ASM-CONSTRUCTION-SCHEDULE</t>
        </is>
      </c>
    </row>
    <row r="128">
      <c r="A128" s="0" t="inlineStr">
        <is>
          <t xml:space="preserve">VG-011</t>
        </is>
      </c>
      <c r="B128" s="23">
        <v>7</v>
      </c>
      <c r="C128" s="11">
        <v>0.12</v>
      </c>
      <c r="D128" s="9">
        <v>3060000000</v>
      </c>
      <c r="E128" s="9">
        <v>2781818181.8181815</v>
      </c>
      <c r="F128" s="9">
        <v>278181818.1818185</v>
      </c>
      <c r="G128" s="9">
        <v>108375000</v>
      </c>
      <c r="H128" s="9">
        <v>19125000000</v>
      </c>
      <c r="I128" s="9">
        <v>986048295.4545455</v>
      </c>
      <c r="J128" s="9">
        <v>25500000000</v>
      </c>
      <c r="K128" s="9">
        <v>23181818181.81818</v>
      </c>
      <c r="L128" s="9">
        <v>2318181818.181821</v>
      </c>
      <c r="M128" s="11">
        <v>0.085</v>
      </c>
      <c r="N128" s="9">
        <v>26619875000</v>
      </c>
      <c r="O128" s="15" t="inlineStr">
        <is>
          <t xml:space="preserve">PASS</t>
        </is>
      </c>
      <c r="P128" s="0" t="inlineStr">
        <is>
          <t xml:space="preserve">ASM-CONSTRUCTION-SCHEDULE</t>
        </is>
      </c>
    </row>
    <row r="129">
      <c r="A129" s="0" t="inlineStr">
        <is>
          <t xml:space="preserve">VG-011</t>
        </is>
      </c>
      <c r="B129" s="23">
        <v>8</v>
      </c>
      <c r="C129" s="11">
        <v>0.1</v>
      </c>
      <c r="D129" s="9">
        <v>2550000000</v>
      </c>
      <c r="E129" s="9">
        <v>2318181818.181818</v>
      </c>
      <c r="F129" s="9">
        <v>231818181.8181821</v>
      </c>
      <c r="G129" s="9">
        <v>73892045.45454545</v>
      </c>
      <c r="H129" s="9">
        <v>21675000000</v>
      </c>
      <c r="I129" s="9">
        <v>1059940340.909091</v>
      </c>
      <c r="J129" s="9">
        <v>25500000000</v>
      </c>
      <c r="K129" s="9">
        <v>23181818181.81818</v>
      </c>
      <c r="L129" s="9">
        <v>2318181818.181821</v>
      </c>
      <c r="M129" s="11">
        <v>0.085</v>
      </c>
      <c r="N129" s="9">
        <v>26619875000</v>
      </c>
      <c r="O129" s="15" t="inlineStr">
        <is>
          <t xml:space="preserve">PASS</t>
        </is>
      </c>
      <c r="P129" s="0" t="inlineStr">
        <is>
          <t xml:space="preserve">ASM-CONSTRUCTION-SCHEDULE</t>
        </is>
      </c>
    </row>
    <row r="130">
      <c r="A130" s="0" t="inlineStr">
        <is>
          <t xml:space="preserve">VG-011</t>
        </is>
      </c>
      <c r="B130" s="23">
        <v>9</v>
      </c>
      <c r="C130" s="11">
        <v>0.06</v>
      </c>
      <c r="D130" s="9">
        <v>1530000000</v>
      </c>
      <c r="E130" s="9">
        <v>1390909090.9090908</v>
      </c>
      <c r="F130" s="9">
        <v>139090909.09090924</v>
      </c>
      <c r="G130" s="9">
        <v>34482954.54545454</v>
      </c>
      <c r="H130" s="9">
        <v>23205000000</v>
      </c>
      <c r="I130" s="9">
        <v>1094423295.4545455</v>
      </c>
      <c r="J130" s="9">
        <v>25500000000</v>
      </c>
      <c r="K130" s="9">
        <v>23181818181.81818</v>
      </c>
      <c r="L130" s="9">
        <v>2318181818.181821</v>
      </c>
      <c r="M130" s="11">
        <v>0.085</v>
      </c>
      <c r="N130" s="9">
        <v>26619875000</v>
      </c>
      <c r="O130" s="15" t="inlineStr">
        <is>
          <t xml:space="preserve">PASS</t>
        </is>
      </c>
      <c r="P130" s="0" t="inlineStr">
        <is>
          <t xml:space="preserve">ASM-CONSTRUCTION-SCHEDULE</t>
        </is>
      </c>
    </row>
    <row r="131">
      <c r="A131" s="0" t="inlineStr">
        <is>
          <t xml:space="preserve">VG-011</t>
        </is>
      </c>
      <c r="B131" s="23">
        <v>10</v>
      </c>
      <c r="C131" s="11">
        <v>0.04</v>
      </c>
      <c r="D131" s="9">
        <v>1020000000</v>
      </c>
      <c r="E131" s="9">
        <v>927272727.2727273</v>
      </c>
      <c r="F131" s="9">
        <v>92727272.72727284</v>
      </c>
      <c r="G131" s="9">
        <v>16420454.545454547</v>
      </c>
      <c r="H131" s="9">
        <v>24225000000</v>
      </c>
      <c r="I131" s="9">
        <v>1110843750</v>
      </c>
      <c r="J131" s="9">
        <v>25500000000</v>
      </c>
      <c r="K131" s="9">
        <v>23181818181.81818</v>
      </c>
      <c r="L131" s="9">
        <v>2318181818.181821</v>
      </c>
      <c r="M131" s="11">
        <v>0.085</v>
      </c>
      <c r="N131" s="9">
        <v>26619875000</v>
      </c>
      <c r="O131" s="15" t="inlineStr">
        <is>
          <t xml:space="preserve">PASS</t>
        </is>
      </c>
      <c r="P131" s="0" t="inlineStr">
        <is>
          <t xml:space="preserve">ASM-CONSTRUCTION-SCHEDULE</t>
        </is>
      </c>
    </row>
    <row r="132">
      <c r="A132" s="0" t="inlineStr">
        <is>
          <t xml:space="preserve">VG-011</t>
        </is>
      </c>
      <c r="B132" s="23">
        <v>11</v>
      </c>
      <c r="C132" s="11">
        <v>0.03</v>
      </c>
      <c r="D132" s="9">
        <v>765000000</v>
      </c>
      <c r="E132" s="9">
        <v>695454545.4545454</v>
      </c>
      <c r="F132" s="9">
        <v>69545454.54545462</v>
      </c>
      <c r="G132" s="9">
        <v>7389204.545454544</v>
      </c>
      <c r="H132" s="9">
        <v>24990000000</v>
      </c>
      <c r="I132" s="9">
        <v>1118232954.5454545</v>
      </c>
      <c r="J132" s="9">
        <v>25500000000</v>
      </c>
      <c r="K132" s="9">
        <v>23181818181.81818</v>
      </c>
      <c r="L132" s="9">
        <v>2318181818.181821</v>
      </c>
      <c r="M132" s="11">
        <v>0.085</v>
      </c>
      <c r="N132" s="9">
        <v>26619875000</v>
      </c>
      <c r="O132" s="15" t="inlineStr">
        <is>
          <t xml:space="preserve">PASS</t>
        </is>
      </c>
      <c r="P132" s="0" t="inlineStr">
        <is>
          <t xml:space="preserve">ASM-CONSTRUCTION-SCHEDULE</t>
        </is>
      </c>
    </row>
    <row r="133">
      <c r="A133" s="0" t="inlineStr">
        <is>
          <t xml:space="preserve">VG-011</t>
        </is>
      </c>
      <c r="B133" s="23">
        <v>12</v>
      </c>
      <c r="C133" s="11">
        <v>0.02</v>
      </c>
      <c r="D133" s="9">
        <v>510000000</v>
      </c>
      <c r="E133" s="9">
        <v>463636363.6363636</v>
      </c>
      <c r="F133" s="9">
        <v>46363636.36363642</v>
      </c>
      <c r="G133" s="9">
        <v>1642045.4545454548</v>
      </c>
      <c r="H133" s="9">
        <v>25500000000</v>
      </c>
      <c r="I133" s="9">
        <v>1119875000</v>
      </c>
      <c r="J133" s="9">
        <v>25500000000</v>
      </c>
      <c r="K133" s="9">
        <v>23181818181.81818</v>
      </c>
      <c r="L133" s="9">
        <v>2318181818.181821</v>
      </c>
      <c r="M133" s="11">
        <v>0.085</v>
      </c>
      <c r="N133" s="9">
        <v>26619875000</v>
      </c>
      <c r="O133" s="15" t="inlineStr">
        <is>
          <t xml:space="preserve">PASS</t>
        </is>
      </c>
      <c r="P133" s="0" t="inlineStr">
        <is>
          <t xml:space="preserve">ASM-CONSTRUCTION-SCHEDULE</t>
        </is>
      </c>
    </row>
    <row r="134">
      <c r="A134" s="0" t="inlineStr">
        <is>
          <t xml:space="preserve">VG-012</t>
        </is>
      </c>
      <c r="B134" s="23">
        <v>1</v>
      </c>
      <c r="C134" s="11">
        <v>0.05</v>
      </c>
      <c r="D134" s="9">
        <v>1221875000</v>
      </c>
      <c r="E134" s="9">
        <v>1110795454.5454545</v>
      </c>
      <c r="F134" s="9">
        <v>111079545.45454556</v>
      </c>
      <c r="G134" s="9">
        <v>90483546.40151514</v>
      </c>
      <c r="H134" s="9">
        <v>1221875000</v>
      </c>
      <c r="I134" s="9">
        <v>90483546.40151514</v>
      </c>
      <c r="J134" s="9">
        <v>24437500000</v>
      </c>
      <c r="K134" s="9">
        <v>22215909090.90909</v>
      </c>
      <c r="L134" s="9">
        <v>2221590909.090911</v>
      </c>
      <c r="M134" s="11">
        <v>0.085</v>
      </c>
      <c r="N134" s="9">
        <v>25510713541.666668</v>
      </c>
      <c r="O134" s="15" t="inlineStr">
        <is>
          <t xml:space="preserve">PASS</t>
        </is>
      </c>
      <c r="P134" s="0" t="inlineStr">
        <is>
          <t xml:space="preserve">ASM-CONSTRUCTION-SCHEDULE</t>
        </is>
      </c>
    </row>
    <row r="135">
      <c r="A135" s="0" t="inlineStr">
        <is>
          <t xml:space="preserve">VG-012</t>
        </is>
      </c>
      <c r="B135" s="23">
        <v>2</v>
      </c>
      <c r="C135" s="11">
        <v>0.08</v>
      </c>
      <c r="D135" s="9">
        <v>1955000000</v>
      </c>
      <c r="E135" s="9">
        <v>1777272727.272727</v>
      </c>
      <c r="F135" s="9">
        <v>177727272.72727287</v>
      </c>
      <c r="G135" s="9">
        <v>132184659.09090908</v>
      </c>
      <c r="H135" s="9">
        <v>3176875000</v>
      </c>
      <c r="I135" s="9">
        <v>222668205.49242422</v>
      </c>
      <c r="J135" s="9">
        <v>24437500000</v>
      </c>
      <c r="K135" s="9">
        <v>22215909090.90909</v>
      </c>
      <c r="L135" s="9">
        <v>2221590909.090911</v>
      </c>
      <c r="M135" s="11">
        <v>0.085</v>
      </c>
      <c r="N135" s="9">
        <v>25510713541.666668</v>
      </c>
      <c r="O135" s="15" t="inlineStr">
        <is>
          <t xml:space="preserve">PASS</t>
        </is>
      </c>
      <c r="P135" s="0" t="inlineStr">
        <is>
          <t xml:space="preserve">ASM-CONSTRUCTION-SCHEDULE</t>
        </is>
      </c>
    </row>
    <row r="136">
      <c r="A136" s="0" t="inlineStr">
        <is>
          <t xml:space="preserve">VG-012</t>
        </is>
      </c>
      <c r="B136" s="23">
        <v>3</v>
      </c>
      <c r="C136" s="11">
        <v>0.1</v>
      </c>
      <c r="D136" s="9">
        <v>2443750000</v>
      </c>
      <c r="E136" s="9">
        <v>2221590909.090909</v>
      </c>
      <c r="F136" s="9">
        <v>222159090.90909111</v>
      </c>
      <c r="G136" s="9">
        <v>149494554.92424244</v>
      </c>
      <c r="H136" s="9">
        <v>5620625000</v>
      </c>
      <c r="I136" s="9">
        <v>372162760.4166666</v>
      </c>
      <c r="J136" s="9">
        <v>24437500000</v>
      </c>
      <c r="K136" s="9">
        <v>22215909090.90909</v>
      </c>
      <c r="L136" s="9">
        <v>2221590909.090911</v>
      </c>
      <c r="M136" s="11">
        <v>0.085</v>
      </c>
      <c r="N136" s="9">
        <v>25510713541.666668</v>
      </c>
      <c r="O136" s="15" t="inlineStr">
        <is>
          <t xml:space="preserve">PASS</t>
        </is>
      </c>
      <c r="P136" s="0" t="inlineStr">
        <is>
          <t xml:space="preserve">ASM-CONSTRUCTION-SCHEDULE</t>
        </is>
      </c>
    </row>
    <row r="137">
      <c r="A137" s="0" t="inlineStr">
        <is>
          <t xml:space="preserve">VG-012</t>
        </is>
      </c>
      <c r="B137" s="23">
        <v>4</v>
      </c>
      <c r="C137" s="11">
        <v>0.12</v>
      </c>
      <c r="D137" s="9">
        <v>2932500000</v>
      </c>
      <c r="E137" s="9">
        <v>2665909090.9090905</v>
      </c>
      <c r="F137" s="9">
        <v>266590909.0909093</v>
      </c>
      <c r="G137" s="9">
        <v>160509943.18181816</v>
      </c>
      <c r="H137" s="9">
        <v>8553125000</v>
      </c>
      <c r="I137" s="9">
        <v>532672703.59848475</v>
      </c>
      <c r="J137" s="9">
        <v>24437500000</v>
      </c>
      <c r="K137" s="9">
        <v>22215909090.90909</v>
      </c>
      <c r="L137" s="9">
        <v>2221590909.090911</v>
      </c>
      <c r="M137" s="11">
        <v>0.085</v>
      </c>
      <c r="N137" s="9">
        <v>25510713541.666668</v>
      </c>
      <c r="O137" s="15" t="inlineStr">
        <is>
          <t xml:space="preserve">PASS</t>
        </is>
      </c>
      <c r="P137" s="0" t="inlineStr">
        <is>
          <t xml:space="preserve">ASM-CONSTRUCTION-SCHEDULE</t>
        </is>
      </c>
    </row>
    <row r="138">
      <c r="A138" s="0" t="inlineStr">
        <is>
          <t xml:space="preserve">VG-012</t>
        </is>
      </c>
      <c r="B138" s="23">
        <v>5</v>
      </c>
      <c r="C138" s="11">
        <v>0.14</v>
      </c>
      <c r="D138" s="9">
        <v>3421250000.0000005</v>
      </c>
      <c r="E138" s="9">
        <v>3110227272.7272725</v>
      </c>
      <c r="F138" s="9">
        <v>311022727.27272755</v>
      </c>
      <c r="G138" s="9">
        <v>165230823.86363637</v>
      </c>
      <c r="H138" s="9">
        <v>11974375000</v>
      </c>
      <c r="I138" s="9">
        <v>697903527.4621211</v>
      </c>
      <c r="J138" s="9">
        <v>24437500000</v>
      </c>
      <c r="K138" s="9">
        <v>22215909090.90909</v>
      </c>
      <c r="L138" s="9">
        <v>2221590909.090911</v>
      </c>
      <c r="M138" s="11">
        <v>0.085</v>
      </c>
      <c r="N138" s="9">
        <v>25510713541.666668</v>
      </c>
      <c r="O138" s="15" t="inlineStr">
        <is>
          <t xml:space="preserve">PASS</t>
        </is>
      </c>
      <c r="P138" s="0" t="inlineStr">
        <is>
          <t xml:space="preserve">ASM-CONSTRUCTION-SCHEDULE</t>
        </is>
      </c>
    </row>
    <row r="139">
      <c r="A139" s="0" t="inlineStr">
        <is>
          <t xml:space="preserve">VG-012</t>
        </is>
      </c>
      <c r="B139" s="23">
        <v>6</v>
      </c>
      <c r="C139" s="11">
        <v>0.14</v>
      </c>
      <c r="D139" s="9">
        <v>3421250000.0000005</v>
      </c>
      <c r="E139" s="9">
        <v>3110227272.7272725</v>
      </c>
      <c r="F139" s="9">
        <v>311022727.27272755</v>
      </c>
      <c r="G139" s="9">
        <v>143200047.34848484</v>
      </c>
      <c r="H139" s="9">
        <v>15395625000</v>
      </c>
      <c r="I139" s="9">
        <v>841103574.810606</v>
      </c>
      <c r="J139" s="9">
        <v>24437500000</v>
      </c>
      <c r="K139" s="9">
        <v>22215909090.90909</v>
      </c>
      <c r="L139" s="9">
        <v>2221590909.090911</v>
      </c>
      <c r="M139" s="11">
        <v>0.085</v>
      </c>
      <c r="N139" s="9">
        <v>25510713541.666668</v>
      </c>
      <c r="O139" s="15" t="inlineStr">
        <is>
          <t xml:space="preserve">PASS</t>
        </is>
      </c>
      <c r="P139" s="0" t="inlineStr">
        <is>
          <t xml:space="preserve">ASM-CONSTRUCTION-SCHEDULE</t>
        </is>
      </c>
    </row>
    <row r="140">
      <c r="A140" s="0" t="inlineStr">
        <is>
          <t xml:space="preserve">VG-012</t>
        </is>
      </c>
      <c r="B140" s="23">
        <v>7</v>
      </c>
      <c r="C140" s="11">
        <v>0.12</v>
      </c>
      <c r="D140" s="9">
        <v>2932500000</v>
      </c>
      <c r="E140" s="9">
        <v>2665909090.9090905</v>
      </c>
      <c r="F140" s="9">
        <v>266590909.0909093</v>
      </c>
      <c r="G140" s="9">
        <v>103859375</v>
      </c>
      <c r="H140" s="9">
        <v>18328125000</v>
      </c>
      <c r="I140" s="9">
        <v>944962949.810606</v>
      </c>
      <c r="J140" s="9">
        <v>24437500000</v>
      </c>
      <c r="K140" s="9">
        <v>22215909090.90909</v>
      </c>
      <c r="L140" s="9">
        <v>2221590909.090911</v>
      </c>
      <c r="M140" s="11">
        <v>0.085</v>
      </c>
      <c r="N140" s="9">
        <v>25510713541.666668</v>
      </c>
      <c r="O140" s="15" t="inlineStr">
        <is>
          <t xml:space="preserve">PASS</t>
        </is>
      </c>
      <c r="P140" s="0" t="inlineStr">
        <is>
          <t xml:space="preserve">ASM-CONSTRUCTION-SCHEDULE</t>
        </is>
      </c>
    </row>
    <row r="141">
      <c r="A141" s="0" t="inlineStr">
        <is>
          <t xml:space="preserve">VG-012</t>
        </is>
      </c>
      <c r="B141" s="23">
        <v>8</v>
      </c>
      <c r="C141" s="11">
        <v>0.1</v>
      </c>
      <c r="D141" s="9">
        <v>2443750000</v>
      </c>
      <c r="E141" s="9">
        <v>2221590909.090909</v>
      </c>
      <c r="F141" s="9">
        <v>222159090.90909111</v>
      </c>
      <c r="G141" s="9">
        <v>70813210.22727273</v>
      </c>
      <c r="H141" s="9">
        <v>20771875000</v>
      </c>
      <c r="I141" s="9">
        <v>1015776160.0378788</v>
      </c>
      <c r="J141" s="9">
        <v>24437500000</v>
      </c>
      <c r="K141" s="9">
        <v>22215909090.90909</v>
      </c>
      <c r="L141" s="9">
        <v>2221590909.090911</v>
      </c>
      <c r="M141" s="11">
        <v>0.085</v>
      </c>
      <c r="N141" s="9">
        <v>25510713541.666668</v>
      </c>
      <c r="O141" s="15" t="inlineStr">
        <is>
          <t xml:space="preserve">PASS</t>
        </is>
      </c>
      <c r="P141" s="0" t="inlineStr">
        <is>
          <t xml:space="preserve">ASM-CONSTRUCTION-SCHEDULE</t>
        </is>
      </c>
    </row>
    <row r="142">
      <c r="A142" s="0" t="inlineStr">
        <is>
          <t xml:space="preserve">VG-012</t>
        </is>
      </c>
      <c r="B142" s="23">
        <v>9</v>
      </c>
      <c r="C142" s="11">
        <v>0.06</v>
      </c>
      <c r="D142" s="9">
        <v>1466250000</v>
      </c>
      <c r="E142" s="9">
        <v>1332954545.4545453</v>
      </c>
      <c r="F142" s="9">
        <v>133295454.54545465</v>
      </c>
      <c r="G142" s="9">
        <v>33046164.77272727</v>
      </c>
      <c r="H142" s="9">
        <v>22238125000</v>
      </c>
      <c r="I142" s="9">
        <v>1048822324.810606</v>
      </c>
      <c r="J142" s="9">
        <v>24437500000</v>
      </c>
      <c r="K142" s="9">
        <v>22215909090.90909</v>
      </c>
      <c r="L142" s="9">
        <v>2221590909.090911</v>
      </c>
      <c r="M142" s="11">
        <v>0.085</v>
      </c>
      <c r="N142" s="9">
        <v>25510713541.666668</v>
      </c>
      <c r="O142" s="15" t="inlineStr">
        <is>
          <t xml:space="preserve">PASS</t>
        </is>
      </c>
      <c r="P142" s="0" t="inlineStr">
        <is>
          <t xml:space="preserve">ASM-CONSTRUCTION-SCHEDULE</t>
        </is>
      </c>
    </row>
    <row r="143">
      <c r="A143" s="0" t="inlineStr">
        <is>
          <t xml:space="preserve">VG-012</t>
        </is>
      </c>
      <c r="B143" s="23">
        <v>10</v>
      </c>
      <c r="C143" s="11">
        <v>0.04</v>
      </c>
      <c r="D143" s="9">
        <v>977500000</v>
      </c>
      <c r="E143" s="9">
        <v>888636363.6363635</v>
      </c>
      <c r="F143" s="9">
        <v>88863636.36363643</v>
      </c>
      <c r="G143" s="9">
        <v>15736268.939393938</v>
      </c>
      <c r="H143" s="9">
        <v>23215625000</v>
      </c>
      <c r="I143" s="9">
        <v>1064558593.75</v>
      </c>
      <c r="J143" s="9">
        <v>24437500000</v>
      </c>
      <c r="K143" s="9">
        <v>22215909090.90909</v>
      </c>
      <c r="L143" s="9">
        <v>2221590909.090911</v>
      </c>
      <c r="M143" s="11">
        <v>0.085</v>
      </c>
      <c r="N143" s="9">
        <v>25510713541.666668</v>
      </c>
      <c r="O143" s="15" t="inlineStr">
        <is>
          <t xml:space="preserve">PASS</t>
        </is>
      </c>
      <c r="P143" s="0" t="inlineStr">
        <is>
          <t xml:space="preserve">ASM-CONSTRUCTION-SCHEDULE</t>
        </is>
      </c>
    </row>
    <row r="144">
      <c r="A144" s="0" t="inlineStr">
        <is>
          <t xml:space="preserve">VG-012</t>
        </is>
      </c>
      <c r="B144" s="23">
        <v>11</v>
      </c>
      <c r="C144" s="11">
        <v>0.03</v>
      </c>
      <c r="D144" s="9">
        <v>733125000</v>
      </c>
      <c r="E144" s="9">
        <v>666477272.7272726</v>
      </c>
      <c r="F144" s="9">
        <v>66647727.272727326</v>
      </c>
      <c r="G144" s="9">
        <v>7081321.0227272725</v>
      </c>
      <c r="H144" s="9">
        <v>23948750000</v>
      </c>
      <c r="I144" s="9">
        <v>1071639914.7727273</v>
      </c>
      <c r="J144" s="9">
        <v>24437500000</v>
      </c>
      <c r="K144" s="9">
        <v>22215909090.90909</v>
      </c>
      <c r="L144" s="9">
        <v>2221590909.090911</v>
      </c>
      <c r="M144" s="11">
        <v>0.085</v>
      </c>
      <c r="N144" s="9">
        <v>25510713541.666668</v>
      </c>
      <c r="O144" s="15" t="inlineStr">
        <is>
          <t xml:space="preserve">PASS</t>
        </is>
      </c>
      <c r="P144" s="0" t="inlineStr">
        <is>
          <t xml:space="preserve">ASM-CONSTRUCTION-SCHEDULE</t>
        </is>
      </c>
    </row>
    <row r="145">
      <c r="A145" s="0" t="inlineStr">
        <is>
          <t xml:space="preserve">VG-012</t>
        </is>
      </c>
      <c r="B145" s="23">
        <v>12</v>
      </c>
      <c r="C145" s="11">
        <v>0.02</v>
      </c>
      <c r="D145" s="9">
        <v>488750000</v>
      </c>
      <c r="E145" s="9">
        <v>444318181.81818175</v>
      </c>
      <c r="F145" s="9">
        <v>44431818.18181822</v>
      </c>
      <c r="G145" s="9">
        <v>1573626.8939393938</v>
      </c>
      <c r="H145" s="9">
        <v>24437500000</v>
      </c>
      <c r="I145" s="9">
        <v>1073213541.6666666</v>
      </c>
      <c r="J145" s="9">
        <v>24437500000</v>
      </c>
      <c r="K145" s="9">
        <v>22215909090.90909</v>
      </c>
      <c r="L145" s="9">
        <v>2221590909.090911</v>
      </c>
      <c r="M145" s="11">
        <v>0.085</v>
      </c>
      <c r="N145" s="9">
        <v>25510713541.666668</v>
      </c>
      <c r="O145" s="15" t="inlineStr">
        <is>
          <t xml:space="preserve">PASS</t>
        </is>
      </c>
      <c r="P145" s="0" t="inlineStr">
        <is>
          <t xml:space="preserve">ASM-CONSTRUCTION-SCHEDULE</t>
        </is>
      </c>
    </row>
    <row r="146">
      <c r="A146" s="0" t="inlineStr">
        <is>
          <t xml:space="preserve">VG-013</t>
        </is>
      </c>
      <c r="B146" s="23">
        <v>1</v>
      </c>
      <c r="C146" s="11">
        <v>0.05</v>
      </c>
      <c r="D146" s="9">
        <v>1115625000</v>
      </c>
      <c r="E146" s="9">
        <v>1014204545.4545455</v>
      </c>
      <c r="F146" s="9">
        <v>101420454.54545465</v>
      </c>
      <c r="G146" s="9">
        <v>82615411.93181819</v>
      </c>
      <c r="H146" s="9">
        <v>1115625000</v>
      </c>
      <c r="I146" s="9">
        <v>82615411.93181819</v>
      </c>
      <c r="J146" s="9">
        <v>22312500000</v>
      </c>
      <c r="K146" s="9">
        <v>20284090909.090908</v>
      </c>
      <c r="L146" s="9">
        <v>2028409090.909093</v>
      </c>
      <c r="M146" s="11">
        <v>0.085</v>
      </c>
      <c r="N146" s="9">
        <v>23292390625</v>
      </c>
      <c r="O146" s="15" t="inlineStr">
        <is>
          <t xml:space="preserve">PASS</t>
        </is>
      </c>
      <c r="P146" s="0" t="inlineStr">
        <is>
          <t xml:space="preserve">ASM-CONSTRUCTION-SCHEDULE</t>
        </is>
      </c>
    </row>
    <row r="147">
      <c r="A147" s="0" t="inlineStr">
        <is>
          <t xml:space="preserve">VG-013</t>
        </is>
      </c>
      <c r="B147" s="23">
        <v>2</v>
      </c>
      <c r="C147" s="11">
        <v>0.08</v>
      </c>
      <c r="D147" s="9">
        <v>1785000000</v>
      </c>
      <c r="E147" s="9">
        <v>1622727272.7272727</v>
      </c>
      <c r="F147" s="9">
        <v>162272727.27272743</v>
      </c>
      <c r="G147" s="9">
        <v>120690340.90909092</v>
      </c>
      <c r="H147" s="9">
        <v>2900625000</v>
      </c>
      <c r="I147" s="9">
        <v>203305752.84090912</v>
      </c>
      <c r="J147" s="9">
        <v>22312500000</v>
      </c>
      <c r="K147" s="9">
        <v>20284090909.090908</v>
      </c>
      <c r="L147" s="9">
        <v>2028409090.909093</v>
      </c>
      <c r="M147" s="11">
        <v>0.085</v>
      </c>
      <c r="N147" s="9">
        <v>23292390625</v>
      </c>
      <c r="O147" s="15" t="inlineStr">
        <is>
          <t xml:space="preserve">PASS</t>
        </is>
      </c>
      <c r="P147" s="0" t="inlineStr">
        <is>
          <t xml:space="preserve">ASM-CONSTRUCTION-SCHEDULE</t>
        </is>
      </c>
    </row>
    <row r="148">
      <c r="A148" s="0" t="inlineStr">
        <is>
          <t xml:space="preserve">VG-013</t>
        </is>
      </c>
      <c r="B148" s="23">
        <v>3</v>
      </c>
      <c r="C148" s="11">
        <v>0.1</v>
      </c>
      <c r="D148" s="9">
        <v>2231250000</v>
      </c>
      <c r="E148" s="9">
        <v>2028409090.909091</v>
      </c>
      <c r="F148" s="9">
        <v>202840909.0909093</v>
      </c>
      <c r="G148" s="9">
        <v>136495028.4090909</v>
      </c>
      <c r="H148" s="9">
        <v>5131875000</v>
      </c>
      <c r="I148" s="9">
        <v>339800781.25</v>
      </c>
      <c r="J148" s="9">
        <v>22312500000</v>
      </c>
      <c r="K148" s="9">
        <v>20284090909.090908</v>
      </c>
      <c r="L148" s="9">
        <v>2028409090.909093</v>
      </c>
      <c r="M148" s="11">
        <v>0.085</v>
      </c>
      <c r="N148" s="9">
        <v>23292390625</v>
      </c>
      <c r="O148" s="15" t="inlineStr">
        <is>
          <t xml:space="preserve">PASS</t>
        </is>
      </c>
      <c r="P148" s="0" t="inlineStr">
        <is>
          <t xml:space="preserve">ASM-CONSTRUCTION-SCHEDULE</t>
        </is>
      </c>
    </row>
    <row r="149">
      <c r="A149" s="0" t="inlineStr">
        <is>
          <t xml:space="preserve">VG-013</t>
        </is>
      </c>
      <c r="B149" s="23">
        <v>4</v>
      </c>
      <c r="C149" s="11">
        <v>0.12</v>
      </c>
      <c r="D149" s="9">
        <v>2677500000</v>
      </c>
      <c r="E149" s="9">
        <v>2434090909.090909</v>
      </c>
      <c r="F149" s="9">
        <v>243409090.90909114</v>
      </c>
      <c r="G149" s="9">
        <v>146552556.81818184</v>
      </c>
      <c r="H149" s="9">
        <v>7809375000</v>
      </c>
      <c r="I149" s="9">
        <v>486353338.0681819</v>
      </c>
      <c r="J149" s="9">
        <v>22312500000</v>
      </c>
      <c r="K149" s="9">
        <v>20284090909.090908</v>
      </c>
      <c r="L149" s="9">
        <v>2028409090.909093</v>
      </c>
      <c r="M149" s="11">
        <v>0.085</v>
      </c>
      <c r="N149" s="9">
        <v>23292390625</v>
      </c>
      <c r="O149" s="15" t="inlineStr">
        <is>
          <t xml:space="preserve">PASS</t>
        </is>
      </c>
      <c r="P149" s="0" t="inlineStr">
        <is>
          <t xml:space="preserve">ASM-CONSTRUCTION-SCHEDULE</t>
        </is>
      </c>
    </row>
    <row r="150">
      <c r="A150" s="0" t="inlineStr">
        <is>
          <t xml:space="preserve">VG-013</t>
        </is>
      </c>
      <c r="B150" s="23">
        <v>5</v>
      </c>
      <c r="C150" s="11">
        <v>0.14</v>
      </c>
      <c r="D150" s="9">
        <v>3123750000.0000005</v>
      </c>
      <c r="E150" s="9">
        <v>2839772727.2727275</v>
      </c>
      <c r="F150" s="9">
        <v>283977272.72727305</v>
      </c>
      <c r="G150" s="9">
        <v>150862926.13636366</v>
      </c>
      <c r="H150" s="9">
        <v>10933125000</v>
      </c>
      <c r="I150" s="9">
        <v>637216264.2045455</v>
      </c>
      <c r="J150" s="9">
        <v>22312500000</v>
      </c>
      <c r="K150" s="9">
        <v>20284090909.090908</v>
      </c>
      <c r="L150" s="9">
        <v>2028409090.909093</v>
      </c>
      <c r="M150" s="11">
        <v>0.085</v>
      </c>
      <c r="N150" s="9">
        <v>23292390625</v>
      </c>
      <c r="O150" s="15" t="inlineStr">
        <is>
          <t xml:space="preserve">PASS</t>
        </is>
      </c>
      <c r="P150" s="0" t="inlineStr">
        <is>
          <t xml:space="preserve">ASM-CONSTRUCTION-SCHEDULE</t>
        </is>
      </c>
    </row>
    <row r="151">
      <c r="A151" s="0" t="inlineStr">
        <is>
          <t xml:space="preserve">VG-013</t>
        </is>
      </c>
      <c r="B151" s="23">
        <v>6</v>
      </c>
      <c r="C151" s="11">
        <v>0.14</v>
      </c>
      <c r="D151" s="9">
        <v>3123750000.0000005</v>
      </c>
      <c r="E151" s="9">
        <v>2839772727.2727275</v>
      </c>
      <c r="F151" s="9">
        <v>283977272.72727305</v>
      </c>
      <c r="G151" s="9">
        <v>130747869.31818183</v>
      </c>
      <c r="H151" s="9">
        <v>14056875000</v>
      </c>
      <c r="I151" s="9">
        <v>767964133.5227274</v>
      </c>
      <c r="J151" s="9">
        <v>22312500000</v>
      </c>
      <c r="K151" s="9">
        <v>20284090909.090908</v>
      </c>
      <c r="L151" s="9">
        <v>2028409090.909093</v>
      </c>
      <c r="M151" s="11">
        <v>0.085</v>
      </c>
      <c r="N151" s="9">
        <v>23292390625</v>
      </c>
      <c r="O151" s="15" t="inlineStr">
        <is>
          <t xml:space="preserve">PASS</t>
        </is>
      </c>
      <c r="P151" s="0" t="inlineStr">
        <is>
          <t xml:space="preserve">ASM-CONSTRUCTION-SCHEDULE</t>
        </is>
      </c>
    </row>
    <row r="152">
      <c r="A152" s="0" t="inlineStr">
        <is>
          <t xml:space="preserve">VG-013</t>
        </is>
      </c>
      <c r="B152" s="23">
        <v>7</v>
      </c>
      <c r="C152" s="11">
        <v>0.12</v>
      </c>
      <c r="D152" s="9">
        <v>2677500000</v>
      </c>
      <c r="E152" s="9">
        <v>2434090909.090909</v>
      </c>
      <c r="F152" s="9">
        <v>243409090.90909114</v>
      </c>
      <c r="G152" s="9">
        <v>94828125</v>
      </c>
      <c r="H152" s="9">
        <v>16734375000</v>
      </c>
      <c r="I152" s="9">
        <v>862792258.5227274</v>
      </c>
      <c r="J152" s="9">
        <v>22312500000</v>
      </c>
      <c r="K152" s="9">
        <v>20284090909.090908</v>
      </c>
      <c r="L152" s="9">
        <v>2028409090.909093</v>
      </c>
      <c r="M152" s="11">
        <v>0.085</v>
      </c>
      <c r="N152" s="9">
        <v>23292390625</v>
      </c>
      <c r="O152" s="15" t="inlineStr">
        <is>
          <t xml:space="preserve">PASS</t>
        </is>
      </c>
      <c r="P152" s="0" t="inlineStr">
        <is>
          <t xml:space="preserve">ASM-CONSTRUCTION-SCHEDULE</t>
        </is>
      </c>
    </row>
    <row r="153">
      <c r="A153" s="0" t="inlineStr">
        <is>
          <t xml:space="preserve">VG-013</t>
        </is>
      </c>
      <c r="B153" s="23">
        <v>8</v>
      </c>
      <c r="C153" s="11">
        <v>0.1</v>
      </c>
      <c r="D153" s="9">
        <v>2231250000</v>
      </c>
      <c r="E153" s="9">
        <v>2028409090.909091</v>
      </c>
      <c r="F153" s="9">
        <v>202840909.0909093</v>
      </c>
      <c r="G153" s="9">
        <v>64655539.77272728</v>
      </c>
      <c r="H153" s="9">
        <v>18965625000</v>
      </c>
      <c r="I153" s="9">
        <v>927447798.2954546</v>
      </c>
      <c r="J153" s="9">
        <v>22312500000</v>
      </c>
      <c r="K153" s="9">
        <v>20284090909.090908</v>
      </c>
      <c r="L153" s="9">
        <v>2028409090.909093</v>
      </c>
      <c r="M153" s="11">
        <v>0.085</v>
      </c>
      <c r="N153" s="9">
        <v>23292390625</v>
      </c>
      <c r="O153" s="15" t="inlineStr">
        <is>
          <t xml:space="preserve">PASS</t>
        </is>
      </c>
      <c r="P153" s="0" t="inlineStr">
        <is>
          <t xml:space="preserve">ASM-CONSTRUCTION-SCHEDULE</t>
        </is>
      </c>
    </row>
    <row r="154">
      <c r="A154" s="0" t="inlineStr">
        <is>
          <t xml:space="preserve">VG-013</t>
        </is>
      </c>
      <c r="B154" s="23">
        <v>9</v>
      </c>
      <c r="C154" s="11">
        <v>0.06</v>
      </c>
      <c r="D154" s="9">
        <v>1338750000</v>
      </c>
      <c r="E154" s="9">
        <v>1217045454.5454545</v>
      </c>
      <c r="F154" s="9">
        <v>121704545.45454557</v>
      </c>
      <c r="G154" s="9">
        <v>30172585.22727273</v>
      </c>
      <c r="H154" s="9">
        <v>20304375000</v>
      </c>
      <c r="I154" s="9">
        <v>957620383.5227274</v>
      </c>
      <c r="J154" s="9">
        <v>22312500000</v>
      </c>
      <c r="K154" s="9">
        <v>20284090909.090908</v>
      </c>
      <c r="L154" s="9">
        <v>2028409090.909093</v>
      </c>
      <c r="M154" s="11">
        <v>0.085</v>
      </c>
      <c r="N154" s="9">
        <v>23292390625</v>
      </c>
      <c r="O154" s="15" t="inlineStr">
        <is>
          <t xml:space="preserve">PASS</t>
        </is>
      </c>
      <c r="P154" s="0" t="inlineStr">
        <is>
          <t xml:space="preserve">ASM-CONSTRUCTION-SCHEDULE</t>
        </is>
      </c>
    </row>
    <row r="155">
      <c r="A155" s="0" t="inlineStr">
        <is>
          <t xml:space="preserve">VG-013</t>
        </is>
      </c>
      <c r="B155" s="23">
        <v>10</v>
      </c>
      <c r="C155" s="11">
        <v>0.04</v>
      </c>
      <c r="D155" s="9">
        <v>892500000</v>
      </c>
      <c r="E155" s="9">
        <v>811363636.3636364</v>
      </c>
      <c r="F155" s="9">
        <v>81136363.63636371</v>
      </c>
      <c r="G155" s="9">
        <v>14367897.727272728</v>
      </c>
      <c r="H155" s="9">
        <v>21196875000</v>
      </c>
      <c r="I155" s="9">
        <v>971988281.2500001</v>
      </c>
      <c r="J155" s="9">
        <v>22312500000</v>
      </c>
      <c r="K155" s="9">
        <v>20284090909.090908</v>
      </c>
      <c r="L155" s="9">
        <v>2028409090.909093</v>
      </c>
      <c r="M155" s="11">
        <v>0.085</v>
      </c>
      <c r="N155" s="9">
        <v>23292390625</v>
      </c>
      <c r="O155" s="15" t="inlineStr">
        <is>
          <t xml:space="preserve">PASS</t>
        </is>
      </c>
      <c r="P155" s="0" t="inlineStr">
        <is>
          <t xml:space="preserve">ASM-CONSTRUCTION-SCHEDULE</t>
        </is>
      </c>
    </row>
    <row r="156">
      <c r="A156" s="0" t="inlineStr">
        <is>
          <t xml:space="preserve">VG-013</t>
        </is>
      </c>
      <c r="B156" s="23">
        <v>11</v>
      </c>
      <c r="C156" s="11">
        <v>0.03</v>
      </c>
      <c r="D156" s="9">
        <v>669375000</v>
      </c>
      <c r="E156" s="9">
        <v>608522727.2727273</v>
      </c>
      <c r="F156" s="9">
        <v>60852272.727272786</v>
      </c>
      <c r="G156" s="9">
        <v>6465553.9772727275</v>
      </c>
      <c r="H156" s="9">
        <v>21866250000</v>
      </c>
      <c r="I156" s="9">
        <v>978453835.2272729</v>
      </c>
      <c r="J156" s="9">
        <v>22312500000</v>
      </c>
      <c r="K156" s="9">
        <v>20284090909.090908</v>
      </c>
      <c r="L156" s="9">
        <v>2028409090.909093</v>
      </c>
      <c r="M156" s="11">
        <v>0.085</v>
      </c>
      <c r="N156" s="9">
        <v>23292390625</v>
      </c>
      <c r="O156" s="15" t="inlineStr">
        <is>
          <t xml:space="preserve">PASS</t>
        </is>
      </c>
      <c r="P156" s="0" t="inlineStr">
        <is>
          <t xml:space="preserve">ASM-CONSTRUCTION-SCHEDULE</t>
        </is>
      </c>
    </row>
    <row r="157">
      <c r="A157" s="0" t="inlineStr">
        <is>
          <t xml:space="preserve">VG-013</t>
        </is>
      </c>
      <c r="B157" s="23">
        <v>12</v>
      </c>
      <c r="C157" s="11">
        <v>0.02</v>
      </c>
      <c r="D157" s="9">
        <v>446250000</v>
      </c>
      <c r="E157" s="9">
        <v>405681818.1818182</v>
      </c>
      <c r="F157" s="9">
        <v>40568181.81818186</v>
      </c>
      <c r="G157" s="9">
        <v>1436789.7727272727</v>
      </c>
      <c r="H157" s="9">
        <v>22312500000</v>
      </c>
      <c r="I157" s="9">
        <v>979890625.0000001</v>
      </c>
      <c r="J157" s="9">
        <v>22312500000</v>
      </c>
      <c r="K157" s="9">
        <v>20284090909.090908</v>
      </c>
      <c r="L157" s="9">
        <v>2028409090.909093</v>
      </c>
      <c r="M157" s="11">
        <v>0.085</v>
      </c>
      <c r="N157" s="9">
        <v>23292390625</v>
      </c>
      <c r="O157" s="15" t="inlineStr">
        <is>
          <t xml:space="preserve">PASS</t>
        </is>
      </c>
      <c r="P157" s="0" t="inlineStr">
        <is>
          <t xml:space="preserve">ASM-CONSTRUCTION-SCHEDULE</t>
        </is>
      </c>
    </row>
    <row r="158">
      <c r="A158" s="0" t="inlineStr">
        <is>
          <t xml:space="preserve">VG-014</t>
        </is>
      </c>
      <c r="B158" s="23">
        <v>1</v>
      </c>
      <c r="C158" s="11">
        <v>0.05</v>
      </c>
      <c r="D158" s="9">
        <v>1328125000</v>
      </c>
      <c r="E158" s="9">
        <v>1207386363.6363637</v>
      </c>
      <c r="F158" s="9">
        <v>120738636.36363645</v>
      </c>
      <c r="G158" s="9">
        <v>98351680.87121212</v>
      </c>
      <c r="H158" s="9">
        <v>1328125000</v>
      </c>
      <c r="I158" s="9">
        <v>98351680.87121212</v>
      </c>
      <c r="J158" s="9">
        <v>26562500000</v>
      </c>
      <c r="K158" s="9">
        <v>24147727272.727272</v>
      </c>
      <c r="L158" s="9">
        <v>2414772727.272729</v>
      </c>
      <c r="M158" s="11">
        <v>0.085</v>
      </c>
      <c r="N158" s="9">
        <v>27729036458.333332</v>
      </c>
      <c r="O158" s="15" t="inlineStr">
        <is>
          <t xml:space="preserve">PASS</t>
        </is>
      </c>
      <c r="P158" s="0" t="inlineStr">
        <is>
          <t xml:space="preserve">ASM-CONSTRUCTION-SCHEDULE</t>
        </is>
      </c>
    </row>
    <row r="159">
      <c r="A159" s="0" t="inlineStr">
        <is>
          <t xml:space="preserve">VG-014</t>
        </is>
      </c>
      <c r="B159" s="23">
        <v>2</v>
      </c>
      <c r="C159" s="11">
        <v>0.08</v>
      </c>
      <c r="D159" s="9">
        <v>2125000000</v>
      </c>
      <c r="E159" s="9">
        <v>1931818181.8181818</v>
      </c>
      <c r="F159" s="9">
        <v>193181818.1818183</v>
      </c>
      <c r="G159" s="9">
        <v>143678977.27272728</v>
      </c>
      <c r="H159" s="9">
        <v>3453125000</v>
      </c>
      <c r="I159" s="9">
        <v>242030658.1439394</v>
      </c>
      <c r="J159" s="9">
        <v>26562500000</v>
      </c>
      <c r="K159" s="9">
        <v>24147727272.727272</v>
      </c>
      <c r="L159" s="9">
        <v>2414772727.272729</v>
      </c>
      <c r="M159" s="11">
        <v>0.085</v>
      </c>
      <c r="N159" s="9">
        <v>27729036458.333332</v>
      </c>
      <c r="O159" s="15" t="inlineStr">
        <is>
          <t xml:space="preserve">PASS</t>
        </is>
      </c>
      <c r="P159" s="0" t="inlineStr">
        <is>
          <t xml:space="preserve">ASM-CONSTRUCTION-SCHEDULE</t>
        </is>
      </c>
    </row>
    <row r="160">
      <c r="A160" s="0" t="inlineStr">
        <is>
          <t xml:space="preserve">VG-014</t>
        </is>
      </c>
      <c r="B160" s="23">
        <v>3</v>
      </c>
      <c r="C160" s="11">
        <v>0.1</v>
      </c>
      <c r="D160" s="9">
        <v>2656250000</v>
      </c>
      <c r="E160" s="9">
        <v>2414772727.2727275</v>
      </c>
      <c r="F160" s="9">
        <v>241477272.7272729</v>
      </c>
      <c r="G160" s="9">
        <v>162494081.43939397</v>
      </c>
      <c r="H160" s="9">
        <v>6109375000</v>
      </c>
      <c r="I160" s="9">
        <v>404524739.5833334</v>
      </c>
      <c r="J160" s="9">
        <v>26562500000</v>
      </c>
      <c r="K160" s="9">
        <v>24147727272.727272</v>
      </c>
      <c r="L160" s="9">
        <v>2414772727.272729</v>
      </c>
      <c r="M160" s="11">
        <v>0.085</v>
      </c>
      <c r="N160" s="9">
        <v>27729036458.333332</v>
      </c>
      <c r="O160" s="15" t="inlineStr">
        <is>
          <t xml:space="preserve">PASS</t>
        </is>
      </c>
      <c r="P160" s="0" t="inlineStr">
        <is>
          <t xml:space="preserve">ASM-CONSTRUCTION-SCHEDULE</t>
        </is>
      </c>
    </row>
    <row r="161">
      <c r="A161" s="0" t="inlineStr">
        <is>
          <t xml:space="preserve">VG-014</t>
        </is>
      </c>
      <c r="B161" s="23">
        <v>4</v>
      </c>
      <c r="C161" s="11">
        <v>0.12</v>
      </c>
      <c r="D161" s="9">
        <v>3187500000</v>
      </c>
      <c r="E161" s="9">
        <v>2897727272.7272725</v>
      </c>
      <c r="F161" s="9">
        <v>289772727.2727275</v>
      </c>
      <c r="G161" s="9">
        <v>174467329.54545453</v>
      </c>
      <c r="H161" s="9">
        <v>9296875000</v>
      </c>
      <c r="I161" s="9">
        <v>578992069.1287879</v>
      </c>
      <c r="J161" s="9">
        <v>26562500000</v>
      </c>
      <c r="K161" s="9">
        <v>24147727272.727272</v>
      </c>
      <c r="L161" s="9">
        <v>2414772727.272729</v>
      </c>
      <c r="M161" s="11">
        <v>0.085</v>
      </c>
      <c r="N161" s="9">
        <v>27729036458.333332</v>
      </c>
      <c r="O161" s="15" t="inlineStr">
        <is>
          <t xml:space="preserve">PASS</t>
        </is>
      </c>
      <c r="P161" s="0" t="inlineStr">
        <is>
          <t xml:space="preserve">ASM-CONSTRUCTION-SCHEDULE</t>
        </is>
      </c>
    </row>
    <row r="162">
      <c r="A162" s="0" t="inlineStr">
        <is>
          <t xml:space="preserve">VG-014</t>
        </is>
      </c>
      <c r="B162" s="23">
        <v>5</v>
      </c>
      <c r="C162" s="11">
        <v>0.14</v>
      </c>
      <c r="D162" s="9">
        <v>3718750000.0000005</v>
      </c>
      <c r="E162" s="9">
        <v>3380681818.1818185</v>
      </c>
      <c r="F162" s="9">
        <v>338068181.81818205</v>
      </c>
      <c r="G162" s="9">
        <v>179598721.59090912</v>
      </c>
      <c r="H162" s="9">
        <v>13015625000</v>
      </c>
      <c r="I162" s="9">
        <v>758590790.719697</v>
      </c>
      <c r="J162" s="9">
        <v>26562500000</v>
      </c>
      <c r="K162" s="9">
        <v>24147727272.727272</v>
      </c>
      <c r="L162" s="9">
        <v>2414772727.272729</v>
      </c>
      <c r="M162" s="11">
        <v>0.085</v>
      </c>
      <c r="N162" s="9">
        <v>27729036458.333332</v>
      </c>
      <c r="O162" s="15" t="inlineStr">
        <is>
          <t xml:space="preserve">PASS</t>
        </is>
      </c>
      <c r="P162" s="0" t="inlineStr">
        <is>
          <t xml:space="preserve">ASM-CONSTRUCTION-SCHEDULE</t>
        </is>
      </c>
    </row>
    <row r="163">
      <c r="A163" s="0" t="inlineStr">
        <is>
          <t xml:space="preserve">VG-014</t>
        </is>
      </c>
      <c r="B163" s="23">
        <v>6</v>
      </c>
      <c r="C163" s="11">
        <v>0.14</v>
      </c>
      <c r="D163" s="9">
        <v>3718750000.0000005</v>
      </c>
      <c r="E163" s="9">
        <v>3380681818.1818185</v>
      </c>
      <c r="F163" s="9">
        <v>338068181.81818205</v>
      </c>
      <c r="G163" s="9">
        <v>155652225.3787879</v>
      </c>
      <c r="H163" s="9">
        <v>16734375000</v>
      </c>
      <c r="I163" s="9">
        <v>914243016.0984849</v>
      </c>
      <c r="J163" s="9">
        <v>26562500000</v>
      </c>
      <c r="K163" s="9">
        <v>24147727272.727272</v>
      </c>
      <c r="L163" s="9">
        <v>2414772727.272729</v>
      </c>
      <c r="M163" s="11">
        <v>0.085</v>
      </c>
      <c r="N163" s="9">
        <v>27729036458.333332</v>
      </c>
      <c r="O163" s="15" t="inlineStr">
        <is>
          <t xml:space="preserve">PASS</t>
        </is>
      </c>
      <c r="P163" s="0" t="inlineStr">
        <is>
          <t xml:space="preserve">ASM-CONSTRUCTION-SCHEDULE</t>
        </is>
      </c>
    </row>
    <row r="164">
      <c r="A164" s="0" t="inlineStr">
        <is>
          <t xml:space="preserve">VG-014</t>
        </is>
      </c>
      <c r="B164" s="23">
        <v>7</v>
      </c>
      <c r="C164" s="11">
        <v>0.12</v>
      </c>
      <c r="D164" s="9">
        <v>3187500000</v>
      </c>
      <c r="E164" s="9">
        <v>2897727272.7272725</v>
      </c>
      <c r="F164" s="9">
        <v>289772727.2727275</v>
      </c>
      <c r="G164" s="9">
        <v>112890625</v>
      </c>
      <c r="H164" s="9">
        <v>19921875000</v>
      </c>
      <c r="I164" s="9">
        <v>1027133641.0984849</v>
      </c>
      <c r="J164" s="9">
        <v>26562500000</v>
      </c>
      <c r="K164" s="9">
        <v>24147727272.727272</v>
      </c>
      <c r="L164" s="9">
        <v>2414772727.272729</v>
      </c>
      <c r="M164" s="11">
        <v>0.085</v>
      </c>
      <c r="N164" s="9">
        <v>27729036458.333332</v>
      </c>
      <c r="O164" s="15" t="inlineStr">
        <is>
          <t xml:space="preserve">PASS</t>
        </is>
      </c>
      <c r="P164" s="0" t="inlineStr">
        <is>
          <t xml:space="preserve">ASM-CONSTRUCTION-SCHEDULE</t>
        </is>
      </c>
    </row>
    <row r="165">
      <c r="A165" s="0" t="inlineStr">
        <is>
          <t xml:space="preserve">VG-014</t>
        </is>
      </c>
      <c r="B165" s="23">
        <v>8</v>
      </c>
      <c r="C165" s="11">
        <v>0.1</v>
      </c>
      <c r="D165" s="9">
        <v>2656250000</v>
      </c>
      <c r="E165" s="9">
        <v>2414772727.2727275</v>
      </c>
      <c r="F165" s="9">
        <v>241477272.7272729</v>
      </c>
      <c r="G165" s="9">
        <v>76970880.68181819</v>
      </c>
      <c r="H165" s="9">
        <v>22578125000</v>
      </c>
      <c r="I165" s="9">
        <v>1104104521.780303</v>
      </c>
      <c r="J165" s="9">
        <v>26562500000</v>
      </c>
      <c r="K165" s="9">
        <v>24147727272.727272</v>
      </c>
      <c r="L165" s="9">
        <v>2414772727.272729</v>
      </c>
      <c r="M165" s="11">
        <v>0.085</v>
      </c>
      <c r="N165" s="9">
        <v>27729036458.333332</v>
      </c>
      <c r="O165" s="15" t="inlineStr">
        <is>
          <t xml:space="preserve">PASS</t>
        </is>
      </c>
      <c r="P165" s="0" t="inlineStr">
        <is>
          <t xml:space="preserve">ASM-CONSTRUCTION-SCHEDULE</t>
        </is>
      </c>
    </row>
    <row r="166">
      <c r="A166" s="0" t="inlineStr">
        <is>
          <t xml:space="preserve">VG-014</t>
        </is>
      </c>
      <c r="B166" s="23">
        <v>9</v>
      </c>
      <c r="C166" s="11">
        <v>0.06</v>
      </c>
      <c r="D166" s="9">
        <v>1593750000</v>
      </c>
      <c r="E166" s="9">
        <v>1448863636.3636363</v>
      </c>
      <c r="F166" s="9">
        <v>144886363.63636374</v>
      </c>
      <c r="G166" s="9">
        <v>35919744.31818182</v>
      </c>
      <c r="H166" s="9">
        <v>24171875000</v>
      </c>
      <c r="I166" s="9">
        <v>1140024266.0984848</v>
      </c>
      <c r="J166" s="9">
        <v>26562500000</v>
      </c>
      <c r="K166" s="9">
        <v>24147727272.727272</v>
      </c>
      <c r="L166" s="9">
        <v>2414772727.272729</v>
      </c>
      <c r="M166" s="11">
        <v>0.085</v>
      </c>
      <c r="N166" s="9">
        <v>27729036458.333332</v>
      </c>
      <c r="O166" s="15" t="inlineStr">
        <is>
          <t xml:space="preserve">PASS</t>
        </is>
      </c>
      <c r="P166" s="0" t="inlineStr">
        <is>
          <t xml:space="preserve">ASM-CONSTRUCTION-SCHEDULE</t>
        </is>
      </c>
    </row>
    <row r="167">
      <c r="A167" s="0" t="inlineStr">
        <is>
          <t xml:space="preserve">VG-014</t>
        </is>
      </c>
      <c r="B167" s="23">
        <v>10</v>
      </c>
      <c r="C167" s="11">
        <v>0.04</v>
      </c>
      <c r="D167" s="9">
        <v>1062500000</v>
      </c>
      <c r="E167" s="9">
        <v>965909090.9090909</v>
      </c>
      <c r="F167" s="9">
        <v>96590909.09090915</v>
      </c>
      <c r="G167" s="9">
        <v>17104640.151515152</v>
      </c>
      <c r="H167" s="9">
        <v>25234375000</v>
      </c>
      <c r="I167" s="9">
        <v>1157128906.25</v>
      </c>
      <c r="J167" s="9">
        <v>26562500000</v>
      </c>
      <c r="K167" s="9">
        <v>24147727272.727272</v>
      </c>
      <c r="L167" s="9">
        <v>2414772727.272729</v>
      </c>
      <c r="M167" s="11">
        <v>0.085</v>
      </c>
      <c r="N167" s="9">
        <v>27729036458.333332</v>
      </c>
      <c r="O167" s="15" t="inlineStr">
        <is>
          <t xml:space="preserve">PASS</t>
        </is>
      </c>
      <c r="P167" s="0" t="inlineStr">
        <is>
          <t xml:space="preserve">ASM-CONSTRUCTION-SCHEDULE</t>
        </is>
      </c>
    </row>
    <row r="168">
      <c r="A168" s="0" t="inlineStr">
        <is>
          <t xml:space="preserve">VG-014</t>
        </is>
      </c>
      <c r="B168" s="23">
        <v>11</v>
      </c>
      <c r="C168" s="11">
        <v>0.03</v>
      </c>
      <c r="D168" s="9">
        <v>796875000</v>
      </c>
      <c r="E168" s="9">
        <v>724431818.1818181</v>
      </c>
      <c r="F168" s="9">
        <v>72443181.81818187</v>
      </c>
      <c r="G168" s="9">
        <v>7697088.068181817</v>
      </c>
      <c r="H168" s="9">
        <v>26031250000</v>
      </c>
      <c r="I168" s="9">
        <v>1164825994.3181818</v>
      </c>
      <c r="J168" s="9">
        <v>26562500000</v>
      </c>
      <c r="K168" s="9">
        <v>24147727272.727272</v>
      </c>
      <c r="L168" s="9">
        <v>2414772727.272729</v>
      </c>
      <c r="M168" s="11">
        <v>0.085</v>
      </c>
      <c r="N168" s="9">
        <v>27729036458.333332</v>
      </c>
      <c r="O168" s="15" t="inlineStr">
        <is>
          <t xml:space="preserve">PASS</t>
        </is>
      </c>
      <c r="P168" s="0" t="inlineStr">
        <is>
          <t xml:space="preserve">ASM-CONSTRUCTION-SCHEDULE</t>
        </is>
      </c>
    </row>
    <row r="169">
      <c r="A169" s="0" t="inlineStr">
        <is>
          <t xml:space="preserve">VG-014</t>
        </is>
      </c>
      <c r="B169" s="23">
        <v>12</v>
      </c>
      <c r="C169" s="11">
        <v>0.02</v>
      </c>
      <c r="D169" s="9">
        <v>531250000</v>
      </c>
      <c r="E169" s="9">
        <v>482954545.45454544</v>
      </c>
      <c r="F169" s="9">
        <v>48295454.54545458</v>
      </c>
      <c r="G169" s="9">
        <v>1710464.0151515154</v>
      </c>
      <c r="H169" s="9">
        <v>26562500000</v>
      </c>
      <c r="I169" s="9">
        <v>1166536458.3333333</v>
      </c>
      <c r="J169" s="9">
        <v>26562500000</v>
      </c>
      <c r="K169" s="9">
        <v>24147727272.727272</v>
      </c>
      <c r="L169" s="9">
        <v>2414772727.272729</v>
      </c>
      <c r="M169" s="11">
        <v>0.085</v>
      </c>
      <c r="N169" s="9">
        <v>27729036458.333332</v>
      </c>
      <c r="O169" s="15" t="inlineStr">
        <is>
          <t xml:space="preserve">PASS</t>
        </is>
      </c>
      <c r="P169" s="0" t="inlineStr">
        <is>
          <t xml:space="preserve">ASM-CONSTRUCTION-SCHEDULE</t>
        </is>
      </c>
    </row>
    <row r="170">
      <c r="A170" s="0" t="inlineStr">
        <is>
          <t xml:space="preserve">VG-015</t>
        </is>
      </c>
      <c r="B170" s="23">
        <v>1</v>
      </c>
      <c r="C170" s="11">
        <v>0.05</v>
      </c>
      <c r="D170" s="9">
        <v>1275000000</v>
      </c>
      <c r="E170" s="9">
        <v>1159090909.090909</v>
      </c>
      <c r="F170" s="9">
        <v>115909090.90909106</v>
      </c>
      <c r="G170" s="9">
        <v>94417613.63636363</v>
      </c>
      <c r="H170" s="9">
        <v>1275000000</v>
      </c>
      <c r="I170" s="9">
        <v>94417613.63636363</v>
      </c>
      <c r="J170" s="9">
        <v>25500000000</v>
      </c>
      <c r="K170" s="9">
        <v>23181818181.81818</v>
      </c>
      <c r="L170" s="9">
        <v>2318181818.181821</v>
      </c>
      <c r="M170" s="11">
        <v>0.085</v>
      </c>
      <c r="N170" s="9">
        <v>26619875000</v>
      </c>
      <c r="O170" s="15" t="inlineStr">
        <is>
          <t xml:space="preserve">PASS</t>
        </is>
      </c>
      <c r="P170" s="0" t="inlineStr">
        <is>
          <t xml:space="preserve">ASM-CONSTRUCTION-SCHEDULE</t>
        </is>
      </c>
    </row>
    <row r="171">
      <c r="A171" s="0" t="inlineStr">
        <is>
          <t xml:space="preserve">VG-015</t>
        </is>
      </c>
      <c r="B171" s="23">
        <v>2</v>
      </c>
      <c r="C171" s="11">
        <v>0.08</v>
      </c>
      <c r="D171" s="9">
        <v>2040000000</v>
      </c>
      <c r="E171" s="9">
        <v>1854545454.5454545</v>
      </c>
      <c r="F171" s="9">
        <v>185454545.45454568</v>
      </c>
      <c r="G171" s="9">
        <v>137931818.18181822</v>
      </c>
      <c r="H171" s="9">
        <v>3315000000</v>
      </c>
      <c r="I171" s="9">
        <v>232349431.81818184</v>
      </c>
      <c r="J171" s="9">
        <v>25500000000</v>
      </c>
      <c r="K171" s="9">
        <v>23181818181.81818</v>
      </c>
      <c r="L171" s="9">
        <v>2318181818.181821</v>
      </c>
      <c r="M171" s="11">
        <v>0.085</v>
      </c>
      <c r="N171" s="9">
        <v>26619875000</v>
      </c>
      <c r="O171" s="15" t="inlineStr">
        <is>
          <t xml:space="preserve">PASS</t>
        </is>
      </c>
      <c r="P171" s="0" t="inlineStr">
        <is>
          <t xml:space="preserve">ASM-CONSTRUCTION-SCHEDULE</t>
        </is>
      </c>
    </row>
    <row r="172">
      <c r="A172" s="0" t="inlineStr">
        <is>
          <t xml:space="preserve">VG-015</t>
        </is>
      </c>
      <c r="B172" s="23">
        <v>3</v>
      </c>
      <c r="C172" s="11">
        <v>0.1</v>
      </c>
      <c r="D172" s="9">
        <v>2550000000</v>
      </c>
      <c r="E172" s="9">
        <v>2318181818.181818</v>
      </c>
      <c r="F172" s="9">
        <v>231818181.8181821</v>
      </c>
      <c r="G172" s="9">
        <v>155994318.18181816</v>
      </c>
      <c r="H172" s="9">
        <v>5865000000</v>
      </c>
      <c r="I172" s="9">
        <v>388343750</v>
      </c>
      <c r="J172" s="9">
        <v>25500000000</v>
      </c>
      <c r="K172" s="9">
        <v>23181818181.81818</v>
      </c>
      <c r="L172" s="9">
        <v>2318181818.181821</v>
      </c>
      <c r="M172" s="11">
        <v>0.085</v>
      </c>
      <c r="N172" s="9">
        <v>26619875000</v>
      </c>
      <c r="O172" s="15" t="inlineStr">
        <is>
          <t xml:space="preserve">PASS</t>
        </is>
      </c>
      <c r="P172" s="0" t="inlineStr">
        <is>
          <t xml:space="preserve">ASM-CONSTRUCTION-SCHEDULE</t>
        </is>
      </c>
    </row>
    <row r="173">
      <c r="A173" s="0" t="inlineStr">
        <is>
          <t xml:space="preserve">VG-015</t>
        </is>
      </c>
      <c r="B173" s="23">
        <v>4</v>
      </c>
      <c r="C173" s="11">
        <v>0.12</v>
      </c>
      <c r="D173" s="9">
        <v>3060000000</v>
      </c>
      <c r="E173" s="9">
        <v>2781818181.8181815</v>
      </c>
      <c r="F173" s="9">
        <v>278181818.1818185</v>
      </c>
      <c r="G173" s="9">
        <v>167488636.36363634</v>
      </c>
      <c r="H173" s="9">
        <v>8925000000</v>
      </c>
      <c r="I173" s="9">
        <v>555832386.3636364</v>
      </c>
      <c r="J173" s="9">
        <v>25500000000</v>
      </c>
      <c r="K173" s="9">
        <v>23181818181.81818</v>
      </c>
      <c r="L173" s="9">
        <v>2318181818.181821</v>
      </c>
      <c r="M173" s="11">
        <v>0.085</v>
      </c>
      <c r="N173" s="9">
        <v>26619875000</v>
      </c>
      <c r="O173" s="15" t="inlineStr">
        <is>
          <t xml:space="preserve">PASS</t>
        </is>
      </c>
      <c r="P173" s="0" t="inlineStr">
        <is>
          <t xml:space="preserve">ASM-CONSTRUCTION-SCHEDULE</t>
        </is>
      </c>
    </row>
    <row r="174">
      <c r="A174" s="0" t="inlineStr">
        <is>
          <t xml:space="preserve">VG-015</t>
        </is>
      </c>
      <c r="B174" s="23">
        <v>5</v>
      </c>
      <c r="C174" s="11">
        <v>0.14</v>
      </c>
      <c r="D174" s="9">
        <v>3570000000.0000005</v>
      </c>
      <c r="E174" s="9">
        <v>3245454545.4545455</v>
      </c>
      <c r="F174" s="9">
        <v>324545454.545455</v>
      </c>
      <c r="G174" s="9">
        <v>172414772.72727272</v>
      </c>
      <c r="H174" s="9">
        <v>12495000000</v>
      </c>
      <c r="I174" s="9">
        <v>728247159.0909091</v>
      </c>
      <c r="J174" s="9">
        <v>25500000000</v>
      </c>
      <c r="K174" s="9">
        <v>23181818181.81818</v>
      </c>
      <c r="L174" s="9">
        <v>2318181818.181821</v>
      </c>
      <c r="M174" s="11">
        <v>0.085</v>
      </c>
      <c r="N174" s="9">
        <v>26619875000</v>
      </c>
      <c r="O174" s="15" t="inlineStr">
        <is>
          <t xml:space="preserve">PASS</t>
        </is>
      </c>
      <c r="P174" s="0" t="inlineStr">
        <is>
          <t xml:space="preserve">ASM-CONSTRUCTION-SCHEDULE</t>
        </is>
      </c>
    </row>
    <row r="175">
      <c r="A175" s="0" t="inlineStr">
        <is>
          <t xml:space="preserve">VG-015</t>
        </is>
      </c>
      <c r="B175" s="23">
        <v>6</v>
      </c>
      <c r="C175" s="11">
        <v>0.14</v>
      </c>
      <c r="D175" s="9">
        <v>3570000000.0000005</v>
      </c>
      <c r="E175" s="9">
        <v>3245454545.4545455</v>
      </c>
      <c r="F175" s="9">
        <v>324545454.545455</v>
      </c>
      <c r="G175" s="9">
        <v>149426136.36363637</v>
      </c>
      <c r="H175" s="9">
        <v>16065000000</v>
      </c>
      <c r="I175" s="9">
        <v>877673295.4545455</v>
      </c>
      <c r="J175" s="9">
        <v>25500000000</v>
      </c>
      <c r="K175" s="9">
        <v>23181818181.81818</v>
      </c>
      <c r="L175" s="9">
        <v>2318181818.181821</v>
      </c>
      <c r="M175" s="11">
        <v>0.085</v>
      </c>
      <c r="N175" s="9">
        <v>26619875000</v>
      </c>
      <c r="O175" s="15" t="inlineStr">
        <is>
          <t xml:space="preserve">PASS</t>
        </is>
      </c>
      <c r="P175" s="0" t="inlineStr">
        <is>
          <t xml:space="preserve">ASM-CONSTRUCTION-SCHEDULE</t>
        </is>
      </c>
    </row>
    <row r="176">
      <c r="A176" s="0" t="inlineStr">
        <is>
          <t xml:space="preserve">VG-015</t>
        </is>
      </c>
      <c r="B176" s="23">
        <v>7</v>
      </c>
      <c r="C176" s="11">
        <v>0.12</v>
      </c>
      <c r="D176" s="9">
        <v>3060000000</v>
      </c>
      <c r="E176" s="9">
        <v>2781818181.8181815</v>
      </c>
      <c r="F176" s="9">
        <v>278181818.1818185</v>
      </c>
      <c r="G176" s="9">
        <v>108375000</v>
      </c>
      <c r="H176" s="9">
        <v>19125000000</v>
      </c>
      <c r="I176" s="9">
        <v>986048295.4545455</v>
      </c>
      <c r="J176" s="9">
        <v>25500000000</v>
      </c>
      <c r="K176" s="9">
        <v>23181818181.81818</v>
      </c>
      <c r="L176" s="9">
        <v>2318181818.181821</v>
      </c>
      <c r="M176" s="11">
        <v>0.085</v>
      </c>
      <c r="N176" s="9">
        <v>26619875000</v>
      </c>
      <c r="O176" s="15" t="inlineStr">
        <is>
          <t xml:space="preserve">PASS</t>
        </is>
      </c>
      <c r="P176" s="0" t="inlineStr">
        <is>
          <t xml:space="preserve">ASM-CONSTRUCTION-SCHEDULE</t>
        </is>
      </c>
    </row>
    <row r="177">
      <c r="A177" s="0" t="inlineStr">
        <is>
          <t xml:space="preserve">VG-015</t>
        </is>
      </c>
      <c r="B177" s="23">
        <v>8</v>
      </c>
      <c r="C177" s="11">
        <v>0.1</v>
      </c>
      <c r="D177" s="9">
        <v>2550000000</v>
      </c>
      <c r="E177" s="9">
        <v>2318181818.181818</v>
      </c>
      <c r="F177" s="9">
        <v>231818181.8181821</v>
      </c>
      <c r="G177" s="9">
        <v>73892045.45454545</v>
      </c>
      <c r="H177" s="9">
        <v>21675000000</v>
      </c>
      <c r="I177" s="9">
        <v>1059940340.909091</v>
      </c>
      <c r="J177" s="9">
        <v>25500000000</v>
      </c>
      <c r="K177" s="9">
        <v>23181818181.81818</v>
      </c>
      <c r="L177" s="9">
        <v>2318181818.181821</v>
      </c>
      <c r="M177" s="11">
        <v>0.085</v>
      </c>
      <c r="N177" s="9">
        <v>26619875000</v>
      </c>
      <c r="O177" s="15" t="inlineStr">
        <is>
          <t xml:space="preserve">PASS</t>
        </is>
      </c>
      <c r="P177" s="0" t="inlineStr">
        <is>
          <t xml:space="preserve">ASM-CONSTRUCTION-SCHEDULE</t>
        </is>
      </c>
    </row>
    <row r="178">
      <c r="A178" s="0" t="inlineStr">
        <is>
          <t xml:space="preserve">VG-015</t>
        </is>
      </c>
      <c r="B178" s="23">
        <v>9</v>
      </c>
      <c r="C178" s="11">
        <v>0.06</v>
      </c>
      <c r="D178" s="9">
        <v>1530000000</v>
      </c>
      <c r="E178" s="9">
        <v>1390909090.9090908</v>
      </c>
      <c r="F178" s="9">
        <v>139090909.09090924</v>
      </c>
      <c r="G178" s="9">
        <v>34482954.54545454</v>
      </c>
      <c r="H178" s="9">
        <v>23205000000</v>
      </c>
      <c r="I178" s="9">
        <v>1094423295.4545455</v>
      </c>
      <c r="J178" s="9">
        <v>25500000000</v>
      </c>
      <c r="K178" s="9">
        <v>23181818181.81818</v>
      </c>
      <c r="L178" s="9">
        <v>2318181818.181821</v>
      </c>
      <c r="M178" s="11">
        <v>0.085</v>
      </c>
      <c r="N178" s="9">
        <v>26619875000</v>
      </c>
      <c r="O178" s="15" t="inlineStr">
        <is>
          <t xml:space="preserve">PASS</t>
        </is>
      </c>
      <c r="P178" s="0" t="inlineStr">
        <is>
          <t xml:space="preserve">ASM-CONSTRUCTION-SCHEDULE</t>
        </is>
      </c>
    </row>
    <row r="179">
      <c r="A179" s="0" t="inlineStr">
        <is>
          <t xml:space="preserve">VG-015</t>
        </is>
      </c>
      <c r="B179" s="23">
        <v>10</v>
      </c>
      <c r="C179" s="11">
        <v>0.04</v>
      </c>
      <c r="D179" s="9">
        <v>1020000000</v>
      </c>
      <c r="E179" s="9">
        <v>927272727.2727273</v>
      </c>
      <c r="F179" s="9">
        <v>92727272.72727284</v>
      </c>
      <c r="G179" s="9">
        <v>16420454.545454547</v>
      </c>
      <c r="H179" s="9">
        <v>24225000000</v>
      </c>
      <c r="I179" s="9">
        <v>1110843750</v>
      </c>
      <c r="J179" s="9">
        <v>25500000000</v>
      </c>
      <c r="K179" s="9">
        <v>23181818181.81818</v>
      </c>
      <c r="L179" s="9">
        <v>2318181818.181821</v>
      </c>
      <c r="M179" s="11">
        <v>0.085</v>
      </c>
      <c r="N179" s="9">
        <v>26619875000</v>
      </c>
      <c r="O179" s="15" t="inlineStr">
        <is>
          <t xml:space="preserve">PASS</t>
        </is>
      </c>
      <c r="P179" s="0" t="inlineStr">
        <is>
          <t xml:space="preserve">ASM-CONSTRUCTION-SCHEDULE</t>
        </is>
      </c>
    </row>
    <row r="180">
      <c r="A180" s="0" t="inlineStr">
        <is>
          <t xml:space="preserve">VG-015</t>
        </is>
      </c>
      <c r="B180" s="23">
        <v>11</v>
      </c>
      <c r="C180" s="11">
        <v>0.03</v>
      </c>
      <c r="D180" s="9">
        <v>765000000</v>
      </c>
      <c r="E180" s="9">
        <v>695454545.4545454</v>
      </c>
      <c r="F180" s="9">
        <v>69545454.54545462</v>
      </c>
      <c r="G180" s="9">
        <v>7389204.545454544</v>
      </c>
      <c r="H180" s="9">
        <v>24990000000</v>
      </c>
      <c r="I180" s="9">
        <v>1118232954.5454545</v>
      </c>
      <c r="J180" s="9">
        <v>25500000000</v>
      </c>
      <c r="K180" s="9">
        <v>23181818181.81818</v>
      </c>
      <c r="L180" s="9">
        <v>2318181818.181821</v>
      </c>
      <c r="M180" s="11">
        <v>0.085</v>
      </c>
      <c r="N180" s="9">
        <v>26619875000</v>
      </c>
      <c r="O180" s="15" t="inlineStr">
        <is>
          <t xml:space="preserve">PASS</t>
        </is>
      </c>
      <c r="P180" s="0" t="inlineStr">
        <is>
          <t xml:space="preserve">ASM-CONSTRUCTION-SCHEDULE</t>
        </is>
      </c>
    </row>
    <row r="181">
      <c r="A181" s="0" t="inlineStr">
        <is>
          <t xml:space="preserve">VG-015</t>
        </is>
      </c>
      <c r="B181" s="23">
        <v>12</v>
      </c>
      <c r="C181" s="11">
        <v>0.02</v>
      </c>
      <c r="D181" s="9">
        <v>510000000</v>
      </c>
      <c r="E181" s="9">
        <v>463636363.6363636</v>
      </c>
      <c r="F181" s="9">
        <v>46363636.36363642</v>
      </c>
      <c r="G181" s="9">
        <v>1642045.4545454548</v>
      </c>
      <c r="H181" s="9">
        <v>25500000000</v>
      </c>
      <c r="I181" s="9">
        <v>1119875000</v>
      </c>
      <c r="J181" s="9">
        <v>25500000000</v>
      </c>
      <c r="K181" s="9">
        <v>23181818181.81818</v>
      </c>
      <c r="L181" s="9">
        <v>2318181818.181821</v>
      </c>
      <c r="M181" s="11">
        <v>0.085</v>
      </c>
      <c r="N181" s="9">
        <v>26619875000</v>
      </c>
      <c r="O181" s="15" t="inlineStr">
        <is>
          <t xml:space="preserve">PASS</t>
        </is>
      </c>
      <c r="P181" s="0" t="inlineStr">
        <is>
          <t xml:space="preserve">ASM-CONSTRUCTION-SCHEDULE</t>
        </is>
      </c>
    </row>
    <row r="182">
      <c r="A182" s="0" t="inlineStr">
        <is>
          <t xml:space="preserve">VG-016</t>
        </is>
      </c>
      <c r="B182" s="23">
        <v>1</v>
      </c>
      <c r="C182" s="11">
        <v>0.05</v>
      </c>
      <c r="D182" s="9">
        <v>1062500000</v>
      </c>
      <c r="E182" s="9">
        <v>965909090.9090909</v>
      </c>
      <c r="F182" s="9">
        <v>96590909.09090912</v>
      </c>
      <c r="G182" s="9">
        <v>78681344.6969697</v>
      </c>
      <c r="H182" s="9">
        <v>1062500000</v>
      </c>
      <c r="I182" s="9">
        <v>78681344.6969697</v>
      </c>
      <c r="J182" s="9">
        <v>21250000000</v>
      </c>
      <c r="K182" s="9">
        <v>19318181818.181816</v>
      </c>
      <c r="L182" s="9">
        <v>1931818181.8181825</v>
      </c>
      <c r="M182" s="11">
        <v>0.085</v>
      </c>
      <c r="N182" s="9">
        <v>22183229166.666668</v>
      </c>
      <c r="O182" s="15" t="inlineStr">
        <is>
          <t xml:space="preserve">PASS</t>
        </is>
      </c>
      <c r="P182" s="0" t="inlineStr">
        <is>
          <t xml:space="preserve">ASM-CONSTRUCTION-SCHEDULE</t>
        </is>
      </c>
    </row>
    <row r="183">
      <c r="A183" s="0" t="inlineStr">
        <is>
          <t xml:space="preserve">VG-016</t>
        </is>
      </c>
      <c r="B183" s="23">
        <v>2</v>
      </c>
      <c r="C183" s="11">
        <v>0.08</v>
      </c>
      <c r="D183" s="9">
        <v>1700000000</v>
      </c>
      <c r="E183" s="9">
        <v>1545454545.4545453</v>
      </c>
      <c r="F183" s="9">
        <v>154545454.5454546</v>
      </c>
      <c r="G183" s="9">
        <v>114943181.81818181</v>
      </c>
      <c r="H183" s="9">
        <v>2762500000</v>
      </c>
      <c r="I183" s="9">
        <v>193624526.5151515</v>
      </c>
      <c r="J183" s="9">
        <v>21250000000</v>
      </c>
      <c r="K183" s="9">
        <v>19318181818.181816</v>
      </c>
      <c r="L183" s="9">
        <v>1931818181.8181825</v>
      </c>
      <c r="M183" s="11">
        <v>0.085</v>
      </c>
      <c r="N183" s="9">
        <v>22183229166.666668</v>
      </c>
      <c r="O183" s="15" t="inlineStr">
        <is>
          <t xml:space="preserve">PASS</t>
        </is>
      </c>
      <c r="P183" s="0" t="inlineStr">
        <is>
          <t xml:space="preserve">ASM-CONSTRUCTION-SCHEDULE</t>
        </is>
      </c>
    </row>
    <row r="184">
      <c r="A184" s="0" t="inlineStr">
        <is>
          <t xml:space="preserve">VG-016</t>
        </is>
      </c>
      <c r="B184" s="23">
        <v>3</v>
      </c>
      <c r="C184" s="11">
        <v>0.1</v>
      </c>
      <c r="D184" s="9">
        <v>2125000000</v>
      </c>
      <c r="E184" s="9">
        <v>1931818181.8181818</v>
      </c>
      <c r="F184" s="9">
        <v>193181818.18181825</v>
      </c>
      <c r="G184" s="9">
        <v>129995265.15151517</v>
      </c>
      <c r="H184" s="9">
        <v>4887500000</v>
      </c>
      <c r="I184" s="9">
        <v>323619791.6666667</v>
      </c>
      <c r="J184" s="9">
        <v>21250000000</v>
      </c>
      <c r="K184" s="9">
        <v>19318181818.181816</v>
      </c>
      <c r="L184" s="9">
        <v>1931818181.8181825</v>
      </c>
      <c r="M184" s="11">
        <v>0.085</v>
      </c>
      <c r="N184" s="9">
        <v>22183229166.666668</v>
      </c>
      <c r="O184" s="15" t="inlineStr">
        <is>
          <t xml:space="preserve">PASS</t>
        </is>
      </c>
      <c r="P184" s="0" t="inlineStr">
        <is>
          <t xml:space="preserve">ASM-CONSTRUCTION-SCHEDULE</t>
        </is>
      </c>
    </row>
    <row r="185">
      <c r="A185" s="0" t="inlineStr">
        <is>
          <t xml:space="preserve">VG-016</t>
        </is>
      </c>
      <c r="B185" s="23">
        <v>4</v>
      </c>
      <c r="C185" s="11">
        <v>0.12</v>
      </c>
      <c r="D185" s="9">
        <v>2550000000</v>
      </c>
      <c r="E185" s="9">
        <v>2318181818.181818</v>
      </c>
      <c r="F185" s="9">
        <v>231818181.8181819</v>
      </c>
      <c r="G185" s="9">
        <v>139573863.63636363</v>
      </c>
      <c r="H185" s="9">
        <v>7437500000</v>
      </c>
      <c r="I185" s="9">
        <v>463193655.3030303</v>
      </c>
      <c r="J185" s="9">
        <v>21250000000</v>
      </c>
      <c r="K185" s="9">
        <v>19318181818.181816</v>
      </c>
      <c r="L185" s="9">
        <v>1931818181.8181825</v>
      </c>
      <c r="M185" s="11">
        <v>0.085</v>
      </c>
      <c r="N185" s="9">
        <v>22183229166.666668</v>
      </c>
      <c r="O185" s="15" t="inlineStr">
        <is>
          <t xml:space="preserve">PASS</t>
        </is>
      </c>
      <c r="P185" s="0" t="inlineStr">
        <is>
          <t xml:space="preserve">ASM-CONSTRUCTION-SCHEDULE</t>
        </is>
      </c>
    </row>
    <row r="186">
      <c r="A186" s="0" t="inlineStr">
        <is>
          <t xml:space="preserve">VG-016</t>
        </is>
      </c>
      <c r="B186" s="23">
        <v>5</v>
      </c>
      <c r="C186" s="11">
        <v>0.14</v>
      </c>
      <c r="D186" s="9">
        <v>2975000000.0000005</v>
      </c>
      <c r="E186" s="9">
        <v>2704545454.5454545</v>
      </c>
      <c r="F186" s="9">
        <v>270454545.45454556</v>
      </c>
      <c r="G186" s="9">
        <v>143678977.27272728</v>
      </c>
      <c r="H186" s="9">
        <v>10412500000</v>
      </c>
      <c r="I186" s="9">
        <v>606872632.5757576</v>
      </c>
      <c r="J186" s="9">
        <v>21250000000</v>
      </c>
      <c r="K186" s="9">
        <v>19318181818.181816</v>
      </c>
      <c r="L186" s="9">
        <v>1931818181.8181825</v>
      </c>
      <c r="M186" s="11">
        <v>0.085</v>
      </c>
      <c r="N186" s="9">
        <v>22183229166.666668</v>
      </c>
      <c r="O186" s="15" t="inlineStr">
        <is>
          <t xml:space="preserve">PASS</t>
        </is>
      </c>
      <c r="P186" s="0" t="inlineStr">
        <is>
          <t xml:space="preserve">ASM-CONSTRUCTION-SCHEDULE</t>
        </is>
      </c>
    </row>
    <row r="187">
      <c r="A187" s="0" t="inlineStr">
        <is>
          <t xml:space="preserve">VG-016</t>
        </is>
      </c>
      <c r="B187" s="23">
        <v>6</v>
      </c>
      <c r="C187" s="11">
        <v>0.14</v>
      </c>
      <c r="D187" s="9">
        <v>2975000000.0000005</v>
      </c>
      <c r="E187" s="9">
        <v>2704545454.5454545</v>
      </c>
      <c r="F187" s="9">
        <v>270454545.45454556</v>
      </c>
      <c r="G187" s="9">
        <v>124521780.30303031</v>
      </c>
      <c r="H187" s="9">
        <v>13387500000</v>
      </c>
      <c r="I187" s="9">
        <v>731394412.878788</v>
      </c>
      <c r="J187" s="9">
        <v>21250000000</v>
      </c>
      <c r="K187" s="9">
        <v>19318181818.181816</v>
      </c>
      <c r="L187" s="9">
        <v>1931818181.8181825</v>
      </c>
      <c r="M187" s="11">
        <v>0.085</v>
      </c>
      <c r="N187" s="9">
        <v>22183229166.666668</v>
      </c>
      <c r="O187" s="15" t="inlineStr">
        <is>
          <t xml:space="preserve">PASS</t>
        </is>
      </c>
      <c r="P187" s="0" t="inlineStr">
        <is>
          <t xml:space="preserve">ASM-CONSTRUCTION-SCHEDULE</t>
        </is>
      </c>
    </row>
    <row r="188">
      <c r="A188" s="0" t="inlineStr">
        <is>
          <t xml:space="preserve">VG-016</t>
        </is>
      </c>
      <c r="B188" s="23">
        <v>7</v>
      </c>
      <c r="C188" s="11">
        <v>0.12</v>
      </c>
      <c r="D188" s="9">
        <v>2550000000</v>
      </c>
      <c r="E188" s="9">
        <v>2318181818.181818</v>
      </c>
      <c r="F188" s="9">
        <v>231818181.8181819</v>
      </c>
      <c r="G188" s="9">
        <v>90312500</v>
      </c>
      <c r="H188" s="9">
        <v>15937500000</v>
      </c>
      <c r="I188" s="9">
        <v>821706912.878788</v>
      </c>
      <c r="J188" s="9">
        <v>21250000000</v>
      </c>
      <c r="K188" s="9">
        <v>19318181818.181816</v>
      </c>
      <c r="L188" s="9">
        <v>1931818181.8181825</v>
      </c>
      <c r="M188" s="11">
        <v>0.085</v>
      </c>
      <c r="N188" s="9">
        <v>22183229166.666668</v>
      </c>
      <c r="O188" s="15" t="inlineStr">
        <is>
          <t xml:space="preserve">PASS</t>
        </is>
      </c>
      <c r="P188" s="0" t="inlineStr">
        <is>
          <t xml:space="preserve">ASM-CONSTRUCTION-SCHEDULE</t>
        </is>
      </c>
    </row>
    <row r="189">
      <c r="A189" s="0" t="inlineStr">
        <is>
          <t xml:space="preserve">VG-016</t>
        </is>
      </c>
      <c r="B189" s="23">
        <v>8</v>
      </c>
      <c r="C189" s="11">
        <v>0.1</v>
      </c>
      <c r="D189" s="9">
        <v>2125000000</v>
      </c>
      <c r="E189" s="9">
        <v>1931818181.8181818</v>
      </c>
      <c r="F189" s="9">
        <v>193181818.18181825</v>
      </c>
      <c r="G189" s="9">
        <v>61576704.545454554</v>
      </c>
      <c r="H189" s="9">
        <v>18062500000</v>
      </c>
      <c r="I189" s="9">
        <v>883283617.4242425</v>
      </c>
      <c r="J189" s="9">
        <v>21250000000</v>
      </c>
      <c r="K189" s="9">
        <v>19318181818.181816</v>
      </c>
      <c r="L189" s="9">
        <v>1931818181.8181825</v>
      </c>
      <c r="M189" s="11">
        <v>0.085</v>
      </c>
      <c r="N189" s="9">
        <v>22183229166.666668</v>
      </c>
      <c r="O189" s="15" t="inlineStr">
        <is>
          <t xml:space="preserve">PASS</t>
        </is>
      </c>
      <c r="P189" s="0" t="inlineStr">
        <is>
          <t xml:space="preserve">ASM-CONSTRUCTION-SCHEDULE</t>
        </is>
      </c>
    </row>
    <row r="190">
      <c r="A190" s="0" t="inlineStr">
        <is>
          <t xml:space="preserve">VG-016</t>
        </is>
      </c>
      <c r="B190" s="23">
        <v>9</v>
      </c>
      <c r="C190" s="11">
        <v>0.06</v>
      </c>
      <c r="D190" s="9">
        <v>1275000000</v>
      </c>
      <c r="E190" s="9">
        <v>1159090909.090909</v>
      </c>
      <c r="F190" s="9">
        <v>115909090.90909095</v>
      </c>
      <c r="G190" s="9">
        <v>28735795.454545453</v>
      </c>
      <c r="H190" s="9">
        <v>19337500000</v>
      </c>
      <c r="I190" s="9">
        <v>912019412.878788</v>
      </c>
      <c r="J190" s="9">
        <v>21250000000</v>
      </c>
      <c r="K190" s="9">
        <v>19318181818.181816</v>
      </c>
      <c r="L190" s="9">
        <v>1931818181.8181825</v>
      </c>
      <c r="M190" s="11">
        <v>0.085</v>
      </c>
      <c r="N190" s="9">
        <v>22183229166.666668</v>
      </c>
      <c r="O190" s="15" t="inlineStr">
        <is>
          <t xml:space="preserve">PASS</t>
        </is>
      </c>
      <c r="P190" s="0" t="inlineStr">
        <is>
          <t xml:space="preserve">ASM-CONSTRUCTION-SCHEDULE</t>
        </is>
      </c>
    </row>
    <row r="191">
      <c r="A191" s="0" t="inlineStr">
        <is>
          <t xml:space="preserve">VG-016</t>
        </is>
      </c>
      <c r="B191" s="23">
        <v>10</v>
      </c>
      <c r="C191" s="11">
        <v>0.04</v>
      </c>
      <c r="D191" s="9">
        <v>850000000</v>
      </c>
      <c r="E191" s="9">
        <v>772727272.7272726</v>
      </c>
      <c r="F191" s="9">
        <v>77272727.2727273</v>
      </c>
      <c r="G191" s="9">
        <v>13683712.12121212</v>
      </c>
      <c r="H191" s="9">
        <v>20187500000</v>
      </c>
      <c r="I191" s="9">
        <v>925703125.0000001</v>
      </c>
      <c r="J191" s="9">
        <v>21250000000</v>
      </c>
      <c r="K191" s="9">
        <v>19318181818.181816</v>
      </c>
      <c r="L191" s="9">
        <v>1931818181.8181825</v>
      </c>
      <c r="M191" s="11">
        <v>0.085</v>
      </c>
      <c r="N191" s="9">
        <v>22183229166.666668</v>
      </c>
      <c r="O191" s="15" t="inlineStr">
        <is>
          <t xml:space="preserve">PASS</t>
        </is>
      </c>
      <c r="P191" s="0" t="inlineStr">
        <is>
          <t xml:space="preserve">ASM-CONSTRUCTION-SCHEDULE</t>
        </is>
      </c>
    </row>
    <row r="192">
      <c r="A192" s="0" t="inlineStr">
        <is>
          <t xml:space="preserve">VG-016</t>
        </is>
      </c>
      <c r="B192" s="23">
        <v>11</v>
      </c>
      <c r="C192" s="11">
        <v>0.03</v>
      </c>
      <c r="D192" s="9">
        <v>637500000</v>
      </c>
      <c r="E192" s="9">
        <v>579545454.5454545</v>
      </c>
      <c r="F192" s="9">
        <v>57954545.454545476</v>
      </c>
      <c r="G192" s="9">
        <v>6157670.454545454</v>
      </c>
      <c r="H192" s="9">
        <v>20825000000</v>
      </c>
      <c r="I192" s="9">
        <v>931860795.4545456</v>
      </c>
      <c r="J192" s="9">
        <v>21250000000</v>
      </c>
      <c r="K192" s="9">
        <v>19318181818.181816</v>
      </c>
      <c r="L192" s="9">
        <v>1931818181.8181825</v>
      </c>
      <c r="M192" s="11">
        <v>0.085</v>
      </c>
      <c r="N192" s="9">
        <v>22183229166.666668</v>
      </c>
      <c r="O192" s="15" t="inlineStr">
        <is>
          <t xml:space="preserve">PASS</t>
        </is>
      </c>
      <c r="P192" s="0" t="inlineStr">
        <is>
          <t xml:space="preserve">ASM-CONSTRUCTION-SCHEDULE</t>
        </is>
      </c>
    </row>
    <row r="193">
      <c r="A193" s="0" t="inlineStr">
        <is>
          <t xml:space="preserve">VG-016</t>
        </is>
      </c>
      <c r="B193" s="23">
        <v>12</v>
      </c>
      <c r="C193" s="11">
        <v>0.02</v>
      </c>
      <c r="D193" s="9">
        <v>425000000</v>
      </c>
      <c r="E193" s="9">
        <v>386363636.3636363</v>
      </c>
      <c r="F193" s="9">
        <v>38636363.63636365</v>
      </c>
      <c r="G193" s="9">
        <v>1368371.2121212122</v>
      </c>
      <c r="H193" s="9">
        <v>21250000000</v>
      </c>
      <c r="I193" s="9">
        <v>933229166.6666669</v>
      </c>
      <c r="J193" s="9">
        <v>21250000000</v>
      </c>
      <c r="K193" s="9">
        <v>19318181818.181816</v>
      </c>
      <c r="L193" s="9">
        <v>1931818181.8181825</v>
      </c>
      <c r="M193" s="11">
        <v>0.085</v>
      </c>
      <c r="N193" s="9">
        <v>22183229166.666668</v>
      </c>
      <c r="O193" s="15" t="inlineStr">
        <is>
          <t xml:space="preserve">PASS</t>
        </is>
      </c>
      <c r="P193" s="0" t="inlineStr">
        <is>
          <t xml:space="preserve">ASM-CONSTRUCTION-SCHEDULE</t>
        </is>
      </c>
    </row>
    <row r="194">
      <c r="A194" s="0" t="inlineStr">
        <is>
          <t xml:space="preserve">VG-017</t>
        </is>
      </c>
      <c r="B194" s="23">
        <v>1</v>
      </c>
      <c r="C194" s="11">
        <v>0.05</v>
      </c>
      <c r="D194" s="9">
        <v>1275000000</v>
      </c>
      <c r="E194" s="9">
        <v>1159090909.090909</v>
      </c>
      <c r="F194" s="9">
        <v>115909090.90909106</v>
      </c>
      <c r="G194" s="9">
        <v>94417613.63636363</v>
      </c>
      <c r="H194" s="9">
        <v>1275000000</v>
      </c>
      <c r="I194" s="9">
        <v>94417613.63636363</v>
      </c>
      <c r="J194" s="9">
        <v>25500000000</v>
      </c>
      <c r="K194" s="9">
        <v>23181818181.81818</v>
      </c>
      <c r="L194" s="9">
        <v>2318181818.181821</v>
      </c>
      <c r="M194" s="11">
        <v>0.085</v>
      </c>
      <c r="N194" s="9">
        <v>26619875000</v>
      </c>
      <c r="O194" s="15" t="inlineStr">
        <is>
          <t xml:space="preserve">PASS</t>
        </is>
      </c>
      <c r="P194" s="0" t="inlineStr">
        <is>
          <t xml:space="preserve">ASM-CONSTRUCTION-SCHEDULE</t>
        </is>
      </c>
    </row>
    <row r="195">
      <c r="A195" s="0" t="inlineStr">
        <is>
          <t xml:space="preserve">VG-017</t>
        </is>
      </c>
      <c r="B195" s="23">
        <v>2</v>
      </c>
      <c r="C195" s="11">
        <v>0.08</v>
      </c>
      <c r="D195" s="9">
        <v>2040000000</v>
      </c>
      <c r="E195" s="9">
        <v>1854545454.5454545</v>
      </c>
      <c r="F195" s="9">
        <v>185454545.45454568</v>
      </c>
      <c r="G195" s="9">
        <v>137931818.18181822</v>
      </c>
      <c r="H195" s="9">
        <v>3315000000</v>
      </c>
      <c r="I195" s="9">
        <v>232349431.81818184</v>
      </c>
      <c r="J195" s="9">
        <v>25500000000</v>
      </c>
      <c r="K195" s="9">
        <v>23181818181.81818</v>
      </c>
      <c r="L195" s="9">
        <v>2318181818.181821</v>
      </c>
      <c r="M195" s="11">
        <v>0.085</v>
      </c>
      <c r="N195" s="9">
        <v>26619875000</v>
      </c>
      <c r="O195" s="15" t="inlineStr">
        <is>
          <t xml:space="preserve">PASS</t>
        </is>
      </c>
      <c r="P195" s="0" t="inlineStr">
        <is>
          <t xml:space="preserve">ASM-CONSTRUCTION-SCHEDULE</t>
        </is>
      </c>
    </row>
    <row r="196">
      <c r="A196" s="0" t="inlineStr">
        <is>
          <t xml:space="preserve">VG-017</t>
        </is>
      </c>
      <c r="B196" s="23">
        <v>3</v>
      </c>
      <c r="C196" s="11">
        <v>0.1</v>
      </c>
      <c r="D196" s="9">
        <v>2550000000</v>
      </c>
      <c r="E196" s="9">
        <v>2318181818.181818</v>
      </c>
      <c r="F196" s="9">
        <v>231818181.8181821</v>
      </c>
      <c r="G196" s="9">
        <v>155994318.18181816</v>
      </c>
      <c r="H196" s="9">
        <v>5865000000</v>
      </c>
      <c r="I196" s="9">
        <v>388343750</v>
      </c>
      <c r="J196" s="9">
        <v>25500000000</v>
      </c>
      <c r="K196" s="9">
        <v>23181818181.81818</v>
      </c>
      <c r="L196" s="9">
        <v>2318181818.181821</v>
      </c>
      <c r="M196" s="11">
        <v>0.085</v>
      </c>
      <c r="N196" s="9">
        <v>26619875000</v>
      </c>
      <c r="O196" s="15" t="inlineStr">
        <is>
          <t xml:space="preserve">PASS</t>
        </is>
      </c>
      <c r="P196" s="0" t="inlineStr">
        <is>
          <t xml:space="preserve">ASM-CONSTRUCTION-SCHEDULE</t>
        </is>
      </c>
    </row>
    <row r="197">
      <c r="A197" s="0" t="inlineStr">
        <is>
          <t xml:space="preserve">VG-017</t>
        </is>
      </c>
      <c r="B197" s="23">
        <v>4</v>
      </c>
      <c r="C197" s="11">
        <v>0.12</v>
      </c>
      <c r="D197" s="9">
        <v>3060000000</v>
      </c>
      <c r="E197" s="9">
        <v>2781818181.8181815</v>
      </c>
      <c r="F197" s="9">
        <v>278181818.1818185</v>
      </c>
      <c r="G197" s="9">
        <v>167488636.36363634</v>
      </c>
      <c r="H197" s="9">
        <v>8925000000</v>
      </c>
      <c r="I197" s="9">
        <v>555832386.3636364</v>
      </c>
      <c r="J197" s="9">
        <v>25500000000</v>
      </c>
      <c r="K197" s="9">
        <v>23181818181.81818</v>
      </c>
      <c r="L197" s="9">
        <v>2318181818.181821</v>
      </c>
      <c r="M197" s="11">
        <v>0.085</v>
      </c>
      <c r="N197" s="9">
        <v>26619875000</v>
      </c>
      <c r="O197" s="15" t="inlineStr">
        <is>
          <t xml:space="preserve">PASS</t>
        </is>
      </c>
      <c r="P197" s="0" t="inlineStr">
        <is>
          <t xml:space="preserve">ASM-CONSTRUCTION-SCHEDULE</t>
        </is>
      </c>
    </row>
    <row r="198">
      <c r="A198" s="0" t="inlineStr">
        <is>
          <t xml:space="preserve">VG-017</t>
        </is>
      </c>
      <c r="B198" s="23">
        <v>5</v>
      </c>
      <c r="C198" s="11">
        <v>0.14</v>
      </c>
      <c r="D198" s="9">
        <v>3570000000.0000005</v>
      </c>
      <c r="E198" s="9">
        <v>3245454545.4545455</v>
      </c>
      <c r="F198" s="9">
        <v>324545454.545455</v>
      </c>
      <c r="G198" s="9">
        <v>172414772.72727272</v>
      </c>
      <c r="H198" s="9">
        <v>12495000000</v>
      </c>
      <c r="I198" s="9">
        <v>728247159.0909091</v>
      </c>
      <c r="J198" s="9">
        <v>25500000000</v>
      </c>
      <c r="K198" s="9">
        <v>23181818181.81818</v>
      </c>
      <c r="L198" s="9">
        <v>2318181818.181821</v>
      </c>
      <c r="M198" s="11">
        <v>0.085</v>
      </c>
      <c r="N198" s="9">
        <v>26619875000</v>
      </c>
      <c r="O198" s="15" t="inlineStr">
        <is>
          <t xml:space="preserve">PASS</t>
        </is>
      </c>
      <c r="P198" s="0" t="inlineStr">
        <is>
          <t xml:space="preserve">ASM-CONSTRUCTION-SCHEDULE</t>
        </is>
      </c>
    </row>
    <row r="199">
      <c r="A199" s="0" t="inlineStr">
        <is>
          <t xml:space="preserve">VG-017</t>
        </is>
      </c>
      <c r="B199" s="23">
        <v>6</v>
      </c>
      <c r="C199" s="11">
        <v>0.14</v>
      </c>
      <c r="D199" s="9">
        <v>3570000000.0000005</v>
      </c>
      <c r="E199" s="9">
        <v>3245454545.4545455</v>
      </c>
      <c r="F199" s="9">
        <v>324545454.545455</v>
      </c>
      <c r="G199" s="9">
        <v>149426136.36363637</v>
      </c>
      <c r="H199" s="9">
        <v>16065000000</v>
      </c>
      <c r="I199" s="9">
        <v>877673295.4545455</v>
      </c>
      <c r="J199" s="9">
        <v>25500000000</v>
      </c>
      <c r="K199" s="9">
        <v>23181818181.81818</v>
      </c>
      <c r="L199" s="9">
        <v>2318181818.181821</v>
      </c>
      <c r="M199" s="11">
        <v>0.085</v>
      </c>
      <c r="N199" s="9">
        <v>26619875000</v>
      </c>
      <c r="O199" s="15" t="inlineStr">
        <is>
          <t xml:space="preserve">PASS</t>
        </is>
      </c>
      <c r="P199" s="0" t="inlineStr">
        <is>
          <t xml:space="preserve">ASM-CONSTRUCTION-SCHEDULE</t>
        </is>
      </c>
    </row>
    <row r="200">
      <c r="A200" s="0" t="inlineStr">
        <is>
          <t xml:space="preserve">VG-017</t>
        </is>
      </c>
      <c r="B200" s="23">
        <v>7</v>
      </c>
      <c r="C200" s="11">
        <v>0.12</v>
      </c>
      <c r="D200" s="9">
        <v>3060000000</v>
      </c>
      <c r="E200" s="9">
        <v>2781818181.8181815</v>
      </c>
      <c r="F200" s="9">
        <v>278181818.1818185</v>
      </c>
      <c r="G200" s="9">
        <v>108375000</v>
      </c>
      <c r="H200" s="9">
        <v>19125000000</v>
      </c>
      <c r="I200" s="9">
        <v>986048295.4545455</v>
      </c>
      <c r="J200" s="9">
        <v>25500000000</v>
      </c>
      <c r="K200" s="9">
        <v>23181818181.81818</v>
      </c>
      <c r="L200" s="9">
        <v>2318181818.181821</v>
      </c>
      <c r="M200" s="11">
        <v>0.085</v>
      </c>
      <c r="N200" s="9">
        <v>26619875000</v>
      </c>
      <c r="O200" s="15" t="inlineStr">
        <is>
          <t xml:space="preserve">PASS</t>
        </is>
      </c>
      <c r="P200" s="0" t="inlineStr">
        <is>
          <t xml:space="preserve">ASM-CONSTRUCTION-SCHEDULE</t>
        </is>
      </c>
    </row>
    <row r="201">
      <c r="A201" s="0" t="inlineStr">
        <is>
          <t xml:space="preserve">VG-017</t>
        </is>
      </c>
      <c r="B201" s="23">
        <v>8</v>
      </c>
      <c r="C201" s="11">
        <v>0.1</v>
      </c>
      <c r="D201" s="9">
        <v>2550000000</v>
      </c>
      <c r="E201" s="9">
        <v>2318181818.181818</v>
      </c>
      <c r="F201" s="9">
        <v>231818181.8181821</v>
      </c>
      <c r="G201" s="9">
        <v>73892045.45454545</v>
      </c>
      <c r="H201" s="9">
        <v>21675000000</v>
      </c>
      <c r="I201" s="9">
        <v>1059940340.909091</v>
      </c>
      <c r="J201" s="9">
        <v>25500000000</v>
      </c>
      <c r="K201" s="9">
        <v>23181818181.81818</v>
      </c>
      <c r="L201" s="9">
        <v>2318181818.181821</v>
      </c>
      <c r="M201" s="11">
        <v>0.085</v>
      </c>
      <c r="N201" s="9">
        <v>26619875000</v>
      </c>
      <c r="O201" s="15" t="inlineStr">
        <is>
          <t xml:space="preserve">PASS</t>
        </is>
      </c>
      <c r="P201" s="0" t="inlineStr">
        <is>
          <t xml:space="preserve">ASM-CONSTRUCTION-SCHEDULE</t>
        </is>
      </c>
    </row>
    <row r="202">
      <c r="A202" s="0" t="inlineStr">
        <is>
          <t xml:space="preserve">VG-017</t>
        </is>
      </c>
      <c r="B202" s="23">
        <v>9</v>
      </c>
      <c r="C202" s="11">
        <v>0.06</v>
      </c>
      <c r="D202" s="9">
        <v>1530000000</v>
      </c>
      <c r="E202" s="9">
        <v>1390909090.9090908</v>
      </c>
      <c r="F202" s="9">
        <v>139090909.09090924</v>
      </c>
      <c r="G202" s="9">
        <v>34482954.54545454</v>
      </c>
      <c r="H202" s="9">
        <v>23205000000</v>
      </c>
      <c r="I202" s="9">
        <v>1094423295.4545455</v>
      </c>
      <c r="J202" s="9">
        <v>25500000000</v>
      </c>
      <c r="K202" s="9">
        <v>23181818181.81818</v>
      </c>
      <c r="L202" s="9">
        <v>2318181818.181821</v>
      </c>
      <c r="M202" s="11">
        <v>0.085</v>
      </c>
      <c r="N202" s="9">
        <v>26619875000</v>
      </c>
      <c r="O202" s="15" t="inlineStr">
        <is>
          <t xml:space="preserve">PASS</t>
        </is>
      </c>
      <c r="P202" s="0" t="inlineStr">
        <is>
          <t xml:space="preserve">ASM-CONSTRUCTION-SCHEDULE</t>
        </is>
      </c>
    </row>
    <row r="203">
      <c r="A203" s="0" t="inlineStr">
        <is>
          <t xml:space="preserve">VG-017</t>
        </is>
      </c>
      <c r="B203" s="23">
        <v>10</v>
      </c>
      <c r="C203" s="11">
        <v>0.04</v>
      </c>
      <c r="D203" s="9">
        <v>1020000000</v>
      </c>
      <c r="E203" s="9">
        <v>927272727.2727273</v>
      </c>
      <c r="F203" s="9">
        <v>92727272.72727284</v>
      </c>
      <c r="G203" s="9">
        <v>16420454.545454547</v>
      </c>
      <c r="H203" s="9">
        <v>24225000000</v>
      </c>
      <c r="I203" s="9">
        <v>1110843750</v>
      </c>
      <c r="J203" s="9">
        <v>25500000000</v>
      </c>
      <c r="K203" s="9">
        <v>23181818181.81818</v>
      </c>
      <c r="L203" s="9">
        <v>2318181818.181821</v>
      </c>
      <c r="M203" s="11">
        <v>0.085</v>
      </c>
      <c r="N203" s="9">
        <v>26619875000</v>
      </c>
      <c r="O203" s="15" t="inlineStr">
        <is>
          <t xml:space="preserve">PASS</t>
        </is>
      </c>
      <c r="P203" s="0" t="inlineStr">
        <is>
          <t xml:space="preserve">ASM-CONSTRUCTION-SCHEDULE</t>
        </is>
      </c>
    </row>
    <row r="204">
      <c r="A204" s="0" t="inlineStr">
        <is>
          <t xml:space="preserve">VG-017</t>
        </is>
      </c>
      <c r="B204" s="23">
        <v>11</v>
      </c>
      <c r="C204" s="11">
        <v>0.03</v>
      </c>
      <c r="D204" s="9">
        <v>765000000</v>
      </c>
      <c r="E204" s="9">
        <v>695454545.4545454</v>
      </c>
      <c r="F204" s="9">
        <v>69545454.54545462</v>
      </c>
      <c r="G204" s="9">
        <v>7389204.545454544</v>
      </c>
      <c r="H204" s="9">
        <v>24990000000</v>
      </c>
      <c r="I204" s="9">
        <v>1118232954.5454545</v>
      </c>
      <c r="J204" s="9">
        <v>25500000000</v>
      </c>
      <c r="K204" s="9">
        <v>23181818181.81818</v>
      </c>
      <c r="L204" s="9">
        <v>2318181818.181821</v>
      </c>
      <c r="M204" s="11">
        <v>0.085</v>
      </c>
      <c r="N204" s="9">
        <v>26619875000</v>
      </c>
      <c r="O204" s="15" t="inlineStr">
        <is>
          <t xml:space="preserve">PASS</t>
        </is>
      </c>
      <c r="P204" s="0" t="inlineStr">
        <is>
          <t xml:space="preserve">ASM-CONSTRUCTION-SCHEDULE</t>
        </is>
      </c>
    </row>
    <row r="205">
      <c r="A205" s="0" t="inlineStr">
        <is>
          <t xml:space="preserve">VG-017</t>
        </is>
      </c>
      <c r="B205" s="23">
        <v>12</v>
      </c>
      <c r="C205" s="11">
        <v>0.02</v>
      </c>
      <c r="D205" s="9">
        <v>510000000</v>
      </c>
      <c r="E205" s="9">
        <v>463636363.6363636</v>
      </c>
      <c r="F205" s="9">
        <v>46363636.36363642</v>
      </c>
      <c r="G205" s="9">
        <v>1642045.4545454548</v>
      </c>
      <c r="H205" s="9">
        <v>25500000000</v>
      </c>
      <c r="I205" s="9">
        <v>1119875000</v>
      </c>
      <c r="J205" s="9">
        <v>25500000000</v>
      </c>
      <c r="K205" s="9">
        <v>23181818181.81818</v>
      </c>
      <c r="L205" s="9">
        <v>2318181818.181821</v>
      </c>
      <c r="M205" s="11">
        <v>0.085</v>
      </c>
      <c r="N205" s="9">
        <v>26619875000</v>
      </c>
      <c r="O205" s="15" t="inlineStr">
        <is>
          <t xml:space="preserve">PASS</t>
        </is>
      </c>
      <c r="P205" s="0" t="inlineStr">
        <is>
          <t xml:space="preserve">ASM-CONSTRUCTION-SCHEDULE</t>
        </is>
      </c>
    </row>
    <row r="206">
      <c r="A206" s="0" t="inlineStr">
        <is>
          <t xml:space="preserve">VG-018</t>
        </is>
      </c>
      <c r="B206" s="23">
        <v>1</v>
      </c>
      <c r="C206" s="11">
        <v>0.05</v>
      </c>
      <c r="D206" s="9">
        <v>1221875000</v>
      </c>
      <c r="E206" s="9">
        <v>1110795454.5454545</v>
      </c>
      <c r="F206" s="9">
        <v>111079545.45454556</v>
      </c>
      <c r="G206" s="9">
        <v>90483546.40151514</v>
      </c>
      <c r="H206" s="9">
        <v>1221875000</v>
      </c>
      <c r="I206" s="9">
        <v>90483546.40151514</v>
      </c>
      <c r="J206" s="9">
        <v>24437500000</v>
      </c>
      <c r="K206" s="9">
        <v>22215909090.90909</v>
      </c>
      <c r="L206" s="9">
        <v>2221590909.090911</v>
      </c>
      <c r="M206" s="11">
        <v>0.085</v>
      </c>
      <c r="N206" s="9">
        <v>25510713541.666668</v>
      </c>
      <c r="O206" s="15" t="inlineStr">
        <is>
          <t xml:space="preserve">PASS</t>
        </is>
      </c>
      <c r="P206" s="0" t="inlineStr">
        <is>
          <t xml:space="preserve">ASM-CONSTRUCTION-SCHEDULE</t>
        </is>
      </c>
    </row>
    <row r="207">
      <c r="A207" s="0" t="inlineStr">
        <is>
          <t xml:space="preserve">VG-018</t>
        </is>
      </c>
      <c r="B207" s="23">
        <v>2</v>
      </c>
      <c r="C207" s="11">
        <v>0.08</v>
      </c>
      <c r="D207" s="9">
        <v>1955000000</v>
      </c>
      <c r="E207" s="9">
        <v>1777272727.272727</v>
      </c>
      <c r="F207" s="9">
        <v>177727272.72727287</v>
      </c>
      <c r="G207" s="9">
        <v>132184659.09090908</v>
      </c>
      <c r="H207" s="9">
        <v>3176875000</v>
      </c>
      <c r="I207" s="9">
        <v>222668205.49242422</v>
      </c>
      <c r="J207" s="9">
        <v>24437500000</v>
      </c>
      <c r="K207" s="9">
        <v>22215909090.90909</v>
      </c>
      <c r="L207" s="9">
        <v>2221590909.090911</v>
      </c>
      <c r="M207" s="11">
        <v>0.085</v>
      </c>
      <c r="N207" s="9">
        <v>25510713541.666668</v>
      </c>
      <c r="O207" s="15" t="inlineStr">
        <is>
          <t xml:space="preserve">PASS</t>
        </is>
      </c>
      <c r="P207" s="0" t="inlineStr">
        <is>
          <t xml:space="preserve">ASM-CONSTRUCTION-SCHEDULE</t>
        </is>
      </c>
    </row>
    <row r="208">
      <c r="A208" s="0" t="inlineStr">
        <is>
          <t xml:space="preserve">VG-018</t>
        </is>
      </c>
      <c r="B208" s="23">
        <v>3</v>
      </c>
      <c r="C208" s="11">
        <v>0.1</v>
      </c>
      <c r="D208" s="9">
        <v>2443750000</v>
      </c>
      <c r="E208" s="9">
        <v>2221590909.090909</v>
      </c>
      <c r="F208" s="9">
        <v>222159090.90909111</v>
      </c>
      <c r="G208" s="9">
        <v>149494554.92424244</v>
      </c>
      <c r="H208" s="9">
        <v>5620625000</v>
      </c>
      <c r="I208" s="9">
        <v>372162760.4166666</v>
      </c>
      <c r="J208" s="9">
        <v>24437500000</v>
      </c>
      <c r="K208" s="9">
        <v>22215909090.90909</v>
      </c>
      <c r="L208" s="9">
        <v>2221590909.090911</v>
      </c>
      <c r="M208" s="11">
        <v>0.085</v>
      </c>
      <c r="N208" s="9">
        <v>25510713541.666668</v>
      </c>
      <c r="O208" s="15" t="inlineStr">
        <is>
          <t xml:space="preserve">PASS</t>
        </is>
      </c>
      <c r="P208" s="0" t="inlineStr">
        <is>
          <t xml:space="preserve">ASM-CONSTRUCTION-SCHEDULE</t>
        </is>
      </c>
    </row>
    <row r="209">
      <c r="A209" s="0" t="inlineStr">
        <is>
          <t xml:space="preserve">VG-018</t>
        </is>
      </c>
      <c r="B209" s="23">
        <v>4</v>
      </c>
      <c r="C209" s="11">
        <v>0.12</v>
      </c>
      <c r="D209" s="9">
        <v>2932500000</v>
      </c>
      <c r="E209" s="9">
        <v>2665909090.9090905</v>
      </c>
      <c r="F209" s="9">
        <v>266590909.0909093</v>
      </c>
      <c r="G209" s="9">
        <v>160509943.18181816</v>
      </c>
      <c r="H209" s="9">
        <v>8553125000</v>
      </c>
      <c r="I209" s="9">
        <v>532672703.59848475</v>
      </c>
      <c r="J209" s="9">
        <v>24437500000</v>
      </c>
      <c r="K209" s="9">
        <v>22215909090.90909</v>
      </c>
      <c r="L209" s="9">
        <v>2221590909.090911</v>
      </c>
      <c r="M209" s="11">
        <v>0.085</v>
      </c>
      <c r="N209" s="9">
        <v>25510713541.666668</v>
      </c>
      <c r="O209" s="15" t="inlineStr">
        <is>
          <t xml:space="preserve">PASS</t>
        </is>
      </c>
      <c r="P209" s="0" t="inlineStr">
        <is>
          <t xml:space="preserve">ASM-CONSTRUCTION-SCHEDULE</t>
        </is>
      </c>
    </row>
    <row r="210">
      <c r="A210" s="0" t="inlineStr">
        <is>
          <t xml:space="preserve">VG-018</t>
        </is>
      </c>
      <c r="B210" s="23">
        <v>5</v>
      </c>
      <c r="C210" s="11">
        <v>0.14</v>
      </c>
      <c r="D210" s="9">
        <v>3421250000.0000005</v>
      </c>
      <c r="E210" s="9">
        <v>3110227272.7272725</v>
      </c>
      <c r="F210" s="9">
        <v>311022727.27272755</v>
      </c>
      <c r="G210" s="9">
        <v>165230823.86363637</v>
      </c>
      <c r="H210" s="9">
        <v>11974375000</v>
      </c>
      <c r="I210" s="9">
        <v>697903527.4621211</v>
      </c>
      <c r="J210" s="9">
        <v>24437500000</v>
      </c>
      <c r="K210" s="9">
        <v>22215909090.90909</v>
      </c>
      <c r="L210" s="9">
        <v>2221590909.090911</v>
      </c>
      <c r="M210" s="11">
        <v>0.085</v>
      </c>
      <c r="N210" s="9">
        <v>25510713541.666668</v>
      </c>
      <c r="O210" s="15" t="inlineStr">
        <is>
          <t xml:space="preserve">PASS</t>
        </is>
      </c>
      <c r="P210" s="0" t="inlineStr">
        <is>
          <t xml:space="preserve">ASM-CONSTRUCTION-SCHEDULE</t>
        </is>
      </c>
    </row>
    <row r="211">
      <c r="A211" s="0" t="inlineStr">
        <is>
          <t xml:space="preserve">VG-018</t>
        </is>
      </c>
      <c r="B211" s="23">
        <v>6</v>
      </c>
      <c r="C211" s="11">
        <v>0.14</v>
      </c>
      <c r="D211" s="9">
        <v>3421250000.0000005</v>
      </c>
      <c r="E211" s="9">
        <v>3110227272.7272725</v>
      </c>
      <c r="F211" s="9">
        <v>311022727.27272755</v>
      </c>
      <c r="G211" s="9">
        <v>143200047.34848484</v>
      </c>
      <c r="H211" s="9">
        <v>15395625000</v>
      </c>
      <c r="I211" s="9">
        <v>841103574.810606</v>
      </c>
      <c r="J211" s="9">
        <v>24437500000</v>
      </c>
      <c r="K211" s="9">
        <v>22215909090.90909</v>
      </c>
      <c r="L211" s="9">
        <v>2221590909.090911</v>
      </c>
      <c r="M211" s="11">
        <v>0.085</v>
      </c>
      <c r="N211" s="9">
        <v>25510713541.666668</v>
      </c>
      <c r="O211" s="15" t="inlineStr">
        <is>
          <t xml:space="preserve">PASS</t>
        </is>
      </c>
      <c r="P211" s="0" t="inlineStr">
        <is>
          <t xml:space="preserve">ASM-CONSTRUCTION-SCHEDULE</t>
        </is>
      </c>
    </row>
    <row r="212">
      <c r="A212" s="0" t="inlineStr">
        <is>
          <t xml:space="preserve">VG-018</t>
        </is>
      </c>
      <c r="B212" s="23">
        <v>7</v>
      </c>
      <c r="C212" s="11">
        <v>0.12</v>
      </c>
      <c r="D212" s="9">
        <v>2932500000</v>
      </c>
      <c r="E212" s="9">
        <v>2665909090.9090905</v>
      </c>
      <c r="F212" s="9">
        <v>266590909.0909093</v>
      </c>
      <c r="G212" s="9">
        <v>103859375</v>
      </c>
      <c r="H212" s="9">
        <v>18328125000</v>
      </c>
      <c r="I212" s="9">
        <v>944962949.810606</v>
      </c>
      <c r="J212" s="9">
        <v>24437500000</v>
      </c>
      <c r="K212" s="9">
        <v>22215909090.90909</v>
      </c>
      <c r="L212" s="9">
        <v>2221590909.090911</v>
      </c>
      <c r="M212" s="11">
        <v>0.085</v>
      </c>
      <c r="N212" s="9">
        <v>25510713541.666668</v>
      </c>
      <c r="O212" s="15" t="inlineStr">
        <is>
          <t xml:space="preserve">PASS</t>
        </is>
      </c>
      <c r="P212" s="0" t="inlineStr">
        <is>
          <t xml:space="preserve">ASM-CONSTRUCTION-SCHEDULE</t>
        </is>
      </c>
    </row>
    <row r="213">
      <c r="A213" s="0" t="inlineStr">
        <is>
          <t xml:space="preserve">VG-018</t>
        </is>
      </c>
      <c r="B213" s="23">
        <v>8</v>
      </c>
      <c r="C213" s="11">
        <v>0.1</v>
      </c>
      <c r="D213" s="9">
        <v>2443750000</v>
      </c>
      <c r="E213" s="9">
        <v>2221590909.090909</v>
      </c>
      <c r="F213" s="9">
        <v>222159090.90909111</v>
      </c>
      <c r="G213" s="9">
        <v>70813210.22727273</v>
      </c>
      <c r="H213" s="9">
        <v>20771875000</v>
      </c>
      <c r="I213" s="9">
        <v>1015776160.0378788</v>
      </c>
      <c r="J213" s="9">
        <v>24437500000</v>
      </c>
      <c r="K213" s="9">
        <v>22215909090.90909</v>
      </c>
      <c r="L213" s="9">
        <v>2221590909.090911</v>
      </c>
      <c r="M213" s="11">
        <v>0.085</v>
      </c>
      <c r="N213" s="9">
        <v>25510713541.666668</v>
      </c>
      <c r="O213" s="15" t="inlineStr">
        <is>
          <t xml:space="preserve">PASS</t>
        </is>
      </c>
      <c r="P213" s="0" t="inlineStr">
        <is>
          <t xml:space="preserve">ASM-CONSTRUCTION-SCHEDULE</t>
        </is>
      </c>
    </row>
    <row r="214">
      <c r="A214" s="0" t="inlineStr">
        <is>
          <t xml:space="preserve">VG-018</t>
        </is>
      </c>
      <c r="B214" s="23">
        <v>9</v>
      </c>
      <c r="C214" s="11">
        <v>0.06</v>
      </c>
      <c r="D214" s="9">
        <v>1466250000</v>
      </c>
      <c r="E214" s="9">
        <v>1332954545.4545453</v>
      </c>
      <c r="F214" s="9">
        <v>133295454.54545465</v>
      </c>
      <c r="G214" s="9">
        <v>33046164.77272727</v>
      </c>
      <c r="H214" s="9">
        <v>22238125000</v>
      </c>
      <c r="I214" s="9">
        <v>1048822324.810606</v>
      </c>
      <c r="J214" s="9">
        <v>24437500000</v>
      </c>
      <c r="K214" s="9">
        <v>22215909090.90909</v>
      </c>
      <c r="L214" s="9">
        <v>2221590909.090911</v>
      </c>
      <c r="M214" s="11">
        <v>0.085</v>
      </c>
      <c r="N214" s="9">
        <v>25510713541.666668</v>
      </c>
      <c r="O214" s="15" t="inlineStr">
        <is>
          <t xml:space="preserve">PASS</t>
        </is>
      </c>
      <c r="P214" s="0" t="inlineStr">
        <is>
          <t xml:space="preserve">ASM-CONSTRUCTION-SCHEDULE</t>
        </is>
      </c>
    </row>
    <row r="215">
      <c r="A215" s="0" t="inlineStr">
        <is>
          <t xml:space="preserve">VG-018</t>
        </is>
      </c>
      <c r="B215" s="23">
        <v>10</v>
      </c>
      <c r="C215" s="11">
        <v>0.04</v>
      </c>
      <c r="D215" s="9">
        <v>977500000</v>
      </c>
      <c r="E215" s="9">
        <v>888636363.6363635</v>
      </c>
      <c r="F215" s="9">
        <v>88863636.36363643</v>
      </c>
      <c r="G215" s="9">
        <v>15736268.939393938</v>
      </c>
      <c r="H215" s="9">
        <v>23215625000</v>
      </c>
      <c r="I215" s="9">
        <v>1064558593.75</v>
      </c>
      <c r="J215" s="9">
        <v>24437500000</v>
      </c>
      <c r="K215" s="9">
        <v>22215909090.90909</v>
      </c>
      <c r="L215" s="9">
        <v>2221590909.090911</v>
      </c>
      <c r="M215" s="11">
        <v>0.085</v>
      </c>
      <c r="N215" s="9">
        <v>25510713541.666668</v>
      </c>
      <c r="O215" s="15" t="inlineStr">
        <is>
          <t xml:space="preserve">PASS</t>
        </is>
      </c>
      <c r="P215" s="0" t="inlineStr">
        <is>
          <t xml:space="preserve">ASM-CONSTRUCTION-SCHEDULE</t>
        </is>
      </c>
    </row>
    <row r="216">
      <c r="A216" s="0" t="inlineStr">
        <is>
          <t xml:space="preserve">VG-018</t>
        </is>
      </c>
      <c r="B216" s="23">
        <v>11</v>
      </c>
      <c r="C216" s="11">
        <v>0.03</v>
      </c>
      <c r="D216" s="9">
        <v>733125000</v>
      </c>
      <c r="E216" s="9">
        <v>666477272.7272726</v>
      </c>
      <c r="F216" s="9">
        <v>66647727.272727326</v>
      </c>
      <c r="G216" s="9">
        <v>7081321.0227272725</v>
      </c>
      <c r="H216" s="9">
        <v>23948750000</v>
      </c>
      <c r="I216" s="9">
        <v>1071639914.7727273</v>
      </c>
      <c r="J216" s="9">
        <v>24437500000</v>
      </c>
      <c r="K216" s="9">
        <v>22215909090.90909</v>
      </c>
      <c r="L216" s="9">
        <v>2221590909.090911</v>
      </c>
      <c r="M216" s="11">
        <v>0.085</v>
      </c>
      <c r="N216" s="9">
        <v>25510713541.666668</v>
      </c>
      <c r="O216" s="15" t="inlineStr">
        <is>
          <t xml:space="preserve">PASS</t>
        </is>
      </c>
      <c r="P216" s="0" t="inlineStr">
        <is>
          <t xml:space="preserve">ASM-CONSTRUCTION-SCHEDULE</t>
        </is>
      </c>
    </row>
    <row r="217">
      <c r="A217" s="0" t="inlineStr">
        <is>
          <t xml:space="preserve">VG-018</t>
        </is>
      </c>
      <c r="B217" s="23">
        <v>12</v>
      </c>
      <c r="C217" s="11">
        <v>0.02</v>
      </c>
      <c r="D217" s="9">
        <v>488750000</v>
      </c>
      <c r="E217" s="9">
        <v>444318181.81818175</v>
      </c>
      <c r="F217" s="9">
        <v>44431818.18181822</v>
      </c>
      <c r="G217" s="9">
        <v>1573626.8939393938</v>
      </c>
      <c r="H217" s="9">
        <v>24437500000</v>
      </c>
      <c r="I217" s="9">
        <v>1073213541.6666666</v>
      </c>
      <c r="J217" s="9">
        <v>24437500000</v>
      </c>
      <c r="K217" s="9">
        <v>22215909090.90909</v>
      </c>
      <c r="L217" s="9">
        <v>2221590909.090911</v>
      </c>
      <c r="M217" s="11">
        <v>0.085</v>
      </c>
      <c r="N217" s="9">
        <v>25510713541.666668</v>
      </c>
      <c r="O217" s="15" t="inlineStr">
        <is>
          <t xml:space="preserve">PASS</t>
        </is>
      </c>
      <c r="P217" s="0" t="inlineStr">
        <is>
          <t xml:space="preserve">ASM-CONSTRUCTION-SCHEDULE</t>
        </is>
      </c>
    </row>
    <row r="218">
      <c r="A218" s="0" t="inlineStr">
        <is>
          <t xml:space="preserve">VG-019</t>
        </is>
      </c>
      <c r="B218" s="23">
        <v>1</v>
      </c>
      <c r="C218" s="11">
        <v>0.05</v>
      </c>
      <c r="D218" s="9">
        <v>1115625000</v>
      </c>
      <c r="E218" s="9">
        <v>1014204545.4545455</v>
      </c>
      <c r="F218" s="9">
        <v>101420454.54545465</v>
      </c>
      <c r="G218" s="9">
        <v>82615411.93181819</v>
      </c>
      <c r="H218" s="9">
        <v>1115625000</v>
      </c>
      <c r="I218" s="9">
        <v>82615411.93181819</v>
      </c>
      <c r="J218" s="9">
        <v>22312500000</v>
      </c>
      <c r="K218" s="9">
        <v>20284090909.090908</v>
      </c>
      <c r="L218" s="9">
        <v>2028409090.909093</v>
      </c>
      <c r="M218" s="11">
        <v>0.085</v>
      </c>
      <c r="N218" s="9">
        <v>23292390625</v>
      </c>
      <c r="O218" s="15" t="inlineStr">
        <is>
          <t xml:space="preserve">PASS</t>
        </is>
      </c>
      <c r="P218" s="0" t="inlineStr">
        <is>
          <t xml:space="preserve">ASM-CONSTRUCTION-SCHEDULE</t>
        </is>
      </c>
    </row>
    <row r="219">
      <c r="A219" s="0" t="inlineStr">
        <is>
          <t xml:space="preserve">VG-019</t>
        </is>
      </c>
      <c r="B219" s="23">
        <v>2</v>
      </c>
      <c r="C219" s="11">
        <v>0.08</v>
      </c>
      <c r="D219" s="9">
        <v>1785000000</v>
      </c>
      <c r="E219" s="9">
        <v>1622727272.7272727</v>
      </c>
      <c r="F219" s="9">
        <v>162272727.27272743</v>
      </c>
      <c r="G219" s="9">
        <v>120690340.90909092</v>
      </c>
      <c r="H219" s="9">
        <v>2900625000</v>
      </c>
      <c r="I219" s="9">
        <v>203305752.84090912</v>
      </c>
      <c r="J219" s="9">
        <v>22312500000</v>
      </c>
      <c r="K219" s="9">
        <v>20284090909.090908</v>
      </c>
      <c r="L219" s="9">
        <v>2028409090.909093</v>
      </c>
      <c r="M219" s="11">
        <v>0.085</v>
      </c>
      <c r="N219" s="9">
        <v>23292390625</v>
      </c>
      <c r="O219" s="15" t="inlineStr">
        <is>
          <t xml:space="preserve">PASS</t>
        </is>
      </c>
      <c r="P219" s="0" t="inlineStr">
        <is>
          <t xml:space="preserve">ASM-CONSTRUCTION-SCHEDULE</t>
        </is>
      </c>
    </row>
    <row r="220">
      <c r="A220" s="0" t="inlineStr">
        <is>
          <t xml:space="preserve">VG-019</t>
        </is>
      </c>
      <c r="B220" s="23">
        <v>3</v>
      </c>
      <c r="C220" s="11">
        <v>0.1</v>
      </c>
      <c r="D220" s="9">
        <v>2231250000</v>
      </c>
      <c r="E220" s="9">
        <v>2028409090.909091</v>
      </c>
      <c r="F220" s="9">
        <v>202840909.0909093</v>
      </c>
      <c r="G220" s="9">
        <v>136495028.4090909</v>
      </c>
      <c r="H220" s="9">
        <v>5131875000</v>
      </c>
      <c r="I220" s="9">
        <v>339800781.25</v>
      </c>
      <c r="J220" s="9">
        <v>22312500000</v>
      </c>
      <c r="K220" s="9">
        <v>20284090909.090908</v>
      </c>
      <c r="L220" s="9">
        <v>2028409090.909093</v>
      </c>
      <c r="M220" s="11">
        <v>0.085</v>
      </c>
      <c r="N220" s="9">
        <v>23292390625</v>
      </c>
      <c r="O220" s="15" t="inlineStr">
        <is>
          <t xml:space="preserve">PASS</t>
        </is>
      </c>
      <c r="P220" s="0" t="inlineStr">
        <is>
          <t xml:space="preserve">ASM-CONSTRUCTION-SCHEDULE</t>
        </is>
      </c>
    </row>
    <row r="221">
      <c r="A221" s="0" t="inlineStr">
        <is>
          <t xml:space="preserve">VG-019</t>
        </is>
      </c>
      <c r="B221" s="23">
        <v>4</v>
      </c>
      <c r="C221" s="11">
        <v>0.12</v>
      </c>
      <c r="D221" s="9">
        <v>2677500000</v>
      </c>
      <c r="E221" s="9">
        <v>2434090909.090909</v>
      </c>
      <c r="F221" s="9">
        <v>243409090.90909114</v>
      </c>
      <c r="G221" s="9">
        <v>146552556.81818184</v>
      </c>
      <c r="H221" s="9">
        <v>7809375000</v>
      </c>
      <c r="I221" s="9">
        <v>486353338.0681819</v>
      </c>
      <c r="J221" s="9">
        <v>22312500000</v>
      </c>
      <c r="K221" s="9">
        <v>20284090909.090908</v>
      </c>
      <c r="L221" s="9">
        <v>2028409090.909093</v>
      </c>
      <c r="M221" s="11">
        <v>0.085</v>
      </c>
      <c r="N221" s="9">
        <v>23292390625</v>
      </c>
      <c r="O221" s="15" t="inlineStr">
        <is>
          <t xml:space="preserve">PASS</t>
        </is>
      </c>
      <c r="P221" s="0" t="inlineStr">
        <is>
          <t xml:space="preserve">ASM-CONSTRUCTION-SCHEDULE</t>
        </is>
      </c>
    </row>
    <row r="222">
      <c r="A222" s="0" t="inlineStr">
        <is>
          <t xml:space="preserve">VG-019</t>
        </is>
      </c>
      <c r="B222" s="23">
        <v>5</v>
      </c>
      <c r="C222" s="11">
        <v>0.14</v>
      </c>
      <c r="D222" s="9">
        <v>3123750000.0000005</v>
      </c>
      <c r="E222" s="9">
        <v>2839772727.2727275</v>
      </c>
      <c r="F222" s="9">
        <v>283977272.72727305</v>
      </c>
      <c r="G222" s="9">
        <v>150862926.13636366</v>
      </c>
      <c r="H222" s="9">
        <v>10933125000</v>
      </c>
      <c r="I222" s="9">
        <v>637216264.2045455</v>
      </c>
      <c r="J222" s="9">
        <v>22312500000</v>
      </c>
      <c r="K222" s="9">
        <v>20284090909.090908</v>
      </c>
      <c r="L222" s="9">
        <v>2028409090.909093</v>
      </c>
      <c r="M222" s="11">
        <v>0.085</v>
      </c>
      <c r="N222" s="9">
        <v>23292390625</v>
      </c>
      <c r="O222" s="15" t="inlineStr">
        <is>
          <t xml:space="preserve">PASS</t>
        </is>
      </c>
      <c r="P222" s="0" t="inlineStr">
        <is>
          <t xml:space="preserve">ASM-CONSTRUCTION-SCHEDULE</t>
        </is>
      </c>
    </row>
    <row r="223">
      <c r="A223" s="0" t="inlineStr">
        <is>
          <t xml:space="preserve">VG-019</t>
        </is>
      </c>
      <c r="B223" s="23">
        <v>6</v>
      </c>
      <c r="C223" s="11">
        <v>0.14</v>
      </c>
      <c r="D223" s="9">
        <v>3123750000.0000005</v>
      </c>
      <c r="E223" s="9">
        <v>2839772727.2727275</v>
      </c>
      <c r="F223" s="9">
        <v>283977272.72727305</v>
      </c>
      <c r="G223" s="9">
        <v>130747869.31818183</v>
      </c>
      <c r="H223" s="9">
        <v>14056875000</v>
      </c>
      <c r="I223" s="9">
        <v>767964133.5227274</v>
      </c>
      <c r="J223" s="9">
        <v>22312500000</v>
      </c>
      <c r="K223" s="9">
        <v>20284090909.090908</v>
      </c>
      <c r="L223" s="9">
        <v>2028409090.909093</v>
      </c>
      <c r="M223" s="11">
        <v>0.085</v>
      </c>
      <c r="N223" s="9">
        <v>23292390625</v>
      </c>
      <c r="O223" s="15" t="inlineStr">
        <is>
          <t xml:space="preserve">PASS</t>
        </is>
      </c>
      <c r="P223" s="0" t="inlineStr">
        <is>
          <t xml:space="preserve">ASM-CONSTRUCTION-SCHEDULE</t>
        </is>
      </c>
    </row>
    <row r="224">
      <c r="A224" s="0" t="inlineStr">
        <is>
          <t xml:space="preserve">VG-019</t>
        </is>
      </c>
      <c r="B224" s="23">
        <v>7</v>
      </c>
      <c r="C224" s="11">
        <v>0.12</v>
      </c>
      <c r="D224" s="9">
        <v>2677500000</v>
      </c>
      <c r="E224" s="9">
        <v>2434090909.090909</v>
      </c>
      <c r="F224" s="9">
        <v>243409090.90909114</v>
      </c>
      <c r="G224" s="9">
        <v>94828125</v>
      </c>
      <c r="H224" s="9">
        <v>16734375000</v>
      </c>
      <c r="I224" s="9">
        <v>862792258.5227274</v>
      </c>
      <c r="J224" s="9">
        <v>22312500000</v>
      </c>
      <c r="K224" s="9">
        <v>20284090909.090908</v>
      </c>
      <c r="L224" s="9">
        <v>2028409090.909093</v>
      </c>
      <c r="M224" s="11">
        <v>0.085</v>
      </c>
      <c r="N224" s="9">
        <v>23292390625</v>
      </c>
      <c r="O224" s="15" t="inlineStr">
        <is>
          <t xml:space="preserve">PASS</t>
        </is>
      </c>
      <c r="P224" s="0" t="inlineStr">
        <is>
          <t xml:space="preserve">ASM-CONSTRUCTION-SCHEDULE</t>
        </is>
      </c>
    </row>
    <row r="225">
      <c r="A225" s="0" t="inlineStr">
        <is>
          <t xml:space="preserve">VG-019</t>
        </is>
      </c>
      <c r="B225" s="23">
        <v>8</v>
      </c>
      <c r="C225" s="11">
        <v>0.1</v>
      </c>
      <c r="D225" s="9">
        <v>2231250000</v>
      </c>
      <c r="E225" s="9">
        <v>2028409090.909091</v>
      </c>
      <c r="F225" s="9">
        <v>202840909.0909093</v>
      </c>
      <c r="G225" s="9">
        <v>64655539.77272728</v>
      </c>
      <c r="H225" s="9">
        <v>18965625000</v>
      </c>
      <c r="I225" s="9">
        <v>927447798.2954546</v>
      </c>
      <c r="J225" s="9">
        <v>22312500000</v>
      </c>
      <c r="K225" s="9">
        <v>20284090909.090908</v>
      </c>
      <c r="L225" s="9">
        <v>2028409090.909093</v>
      </c>
      <c r="M225" s="11">
        <v>0.085</v>
      </c>
      <c r="N225" s="9">
        <v>23292390625</v>
      </c>
      <c r="O225" s="15" t="inlineStr">
        <is>
          <t xml:space="preserve">PASS</t>
        </is>
      </c>
      <c r="P225" s="0" t="inlineStr">
        <is>
          <t xml:space="preserve">ASM-CONSTRUCTION-SCHEDULE</t>
        </is>
      </c>
    </row>
    <row r="226">
      <c r="A226" s="0" t="inlineStr">
        <is>
          <t xml:space="preserve">VG-019</t>
        </is>
      </c>
      <c r="B226" s="23">
        <v>9</v>
      </c>
      <c r="C226" s="11">
        <v>0.06</v>
      </c>
      <c r="D226" s="9">
        <v>1338750000</v>
      </c>
      <c r="E226" s="9">
        <v>1217045454.5454545</v>
      </c>
      <c r="F226" s="9">
        <v>121704545.45454557</v>
      </c>
      <c r="G226" s="9">
        <v>30172585.22727273</v>
      </c>
      <c r="H226" s="9">
        <v>20304375000</v>
      </c>
      <c r="I226" s="9">
        <v>957620383.5227274</v>
      </c>
      <c r="J226" s="9">
        <v>22312500000</v>
      </c>
      <c r="K226" s="9">
        <v>20284090909.090908</v>
      </c>
      <c r="L226" s="9">
        <v>2028409090.909093</v>
      </c>
      <c r="M226" s="11">
        <v>0.085</v>
      </c>
      <c r="N226" s="9">
        <v>23292390625</v>
      </c>
      <c r="O226" s="15" t="inlineStr">
        <is>
          <t xml:space="preserve">PASS</t>
        </is>
      </c>
      <c r="P226" s="0" t="inlineStr">
        <is>
          <t xml:space="preserve">ASM-CONSTRUCTION-SCHEDULE</t>
        </is>
      </c>
    </row>
    <row r="227">
      <c r="A227" s="0" t="inlineStr">
        <is>
          <t xml:space="preserve">VG-019</t>
        </is>
      </c>
      <c r="B227" s="23">
        <v>10</v>
      </c>
      <c r="C227" s="11">
        <v>0.04</v>
      </c>
      <c r="D227" s="9">
        <v>892500000</v>
      </c>
      <c r="E227" s="9">
        <v>811363636.3636364</v>
      </c>
      <c r="F227" s="9">
        <v>81136363.63636371</v>
      </c>
      <c r="G227" s="9">
        <v>14367897.727272728</v>
      </c>
      <c r="H227" s="9">
        <v>21196875000</v>
      </c>
      <c r="I227" s="9">
        <v>971988281.2500001</v>
      </c>
      <c r="J227" s="9">
        <v>22312500000</v>
      </c>
      <c r="K227" s="9">
        <v>20284090909.090908</v>
      </c>
      <c r="L227" s="9">
        <v>2028409090.909093</v>
      </c>
      <c r="M227" s="11">
        <v>0.085</v>
      </c>
      <c r="N227" s="9">
        <v>23292390625</v>
      </c>
      <c r="O227" s="15" t="inlineStr">
        <is>
          <t xml:space="preserve">PASS</t>
        </is>
      </c>
      <c r="P227" s="0" t="inlineStr">
        <is>
          <t xml:space="preserve">ASM-CONSTRUCTION-SCHEDULE</t>
        </is>
      </c>
    </row>
    <row r="228">
      <c r="A228" s="0" t="inlineStr">
        <is>
          <t xml:space="preserve">VG-019</t>
        </is>
      </c>
      <c r="B228" s="23">
        <v>11</v>
      </c>
      <c r="C228" s="11">
        <v>0.03</v>
      </c>
      <c r="D228" s="9">
        <v>669375000</v>
      </c>
      <c r="E228" s="9">
        <v>608522727.2727273</v>
      </c>
      <c r="F228" s="9">
        <v>60852272.727272786</v>
      </c>
      <c r="G228" s="9">
        <v>6465553.9772727275</v>
      </c>
      <c r="H228" s="9">
        <v>21866250000</v>
      </c>
      <c r="I228" s="9">
        <v>978453835.2272729</v>
      </c>
      <c r="J228" s="9">
        <v>22312500000</v>
      </c>
      <c r="K228" s="9">
        <v>20284090909.090908</v>
      </c>
      <c r="L228" s="9">
        <v>2028409090.909093</v>
      </c>
      <c r="M228" s="11">
        <v>0.085</v>
      </c>
      <c r="N228" s="9">
        <v>23292390625</v>
      </c>
      <c r="O228" s="15" t="inlineStr">
        <is>
          <t xml:space="preserve">PASS</t>
        </is>
      </c>
      <c r="P228" s="0" t="inlineStr">
        <is>
          <t xml:space="preserve">ASM-CONSTRUCTION-SCHEDULE</t>
        </is>
      </c>
    </row>
    <row r="229">
      <c r="A229" s="0" t="inlineStr">
        <is>
          <t xml:space="preserve">VG-019</t>
        </is>
      </c>
      <c r="B229" s="23">
        <v>12</v>
      </c>
      <c r="C229" s="11">
        <v>0.02</v>
      </c>
      <c r="D229" s="9">
        <v>446250000</v>
      </c>
      <c r="E229" s="9">
        <v>405681818.1818182</v>
      </c>
      <c r="F229" s="9">
        <v>40568181.81818186</v>
      </c>
      <c r="G229" s="9">
        <v>1436789.7727272727</v>
      </c>
      <c r="H229" s="9">
        <v>22312500000</v>
      </c>
      <c r="I229" s="9">
        <v>979890625.0000001</v>
      </c>
      <c r="J229" s="9">
        <v>22312500000</v>
      </c>
      <c r="K229" s="9">
        <v>20284090909.090908</v>
      </c>
      <c r="L229" s="9">
        <v>2028409090.909093</v>
      </c>
      <c r="M229" s="11">
        <v>0.085</v>
      </c>
      <c r="N229" s="9">
        <v>23292390625</v>
      </c>
      <c r="O229" s="15" t="inlineStr">
        <is>
          <t xml:space="preserve">PASS</t>
        </is>
      </c>
      <c r="P229" s="0" t="inlineStr">
        <is>
          <t xml:space="preserve">ASM-CONSTRUCTION-SCHEDULE</t>
        </is>
      </c>
    </row>
    <row r="230">
      <c r="A230" s="0" t="inlineStr">
        <is>
          <t xml:space="preserve">VG-020</t>
        </is>
      </c>
      <c r="B230" s="23">
        <v>1</v>
      </c>
      <c r="C230" s="11">
        <v>0.05</v>
      </c>
      <c r="D230" s="9">
        <v>1115625000</v>
      </c>
      <c r="E230" s="9">
        <v>1014204545.4545455</v>
      </c>
      <c r="F230" s="9">
        <v>101420454.54545465</v>
      </c>
      <c r="G230" s="9">
        <v>82615411.93181819</v>
      </c>
      <c r="H230" s="9">
        <v>1115625000</v>
      </c>
      <c r="I230" s="9">
        <v>82615411.93181819</v>
      </c>
      <c r="J230" s="9">
        <v>22312500000</v>
      </c>
      <c r="K230" s="9">
        <v>20284090909.090908</v>
      </c>
      <c r="L230" s="9">
        <v>2028409090.909093</v>
      </c>
      <c r="M230" s="11">
        <v>0.085</v>
      </c>
      <c r="N230" s="9">
        <v>23292390625</v>
      </c>
      <c r="O230" s="15" t="inlineStr">
        <is>
          <t xml:space="preserve">PASS</t>
        </is>
      </c>
      <c r="P230" s="0" t="inlineStr">
        <is>
          <t xml:space="preserve">ASM-CONSTRUCTION-SCHEDULE</t>
        </is>
      </c>
    </row>
    <row r="231">
      <c r="A231" s="0" t="inlineStr">
        <is>
          <t xml:space="preserve">VG-020</t>
        </is>
      </c>
      <c r="B231" s="23">
        <v>2</v>
      </c>
      <c r="C231" s="11">
        <v>0.08</v>
      </c>
      <c r="D231" s="9">
        <v>1785000000</v>
      </c>
      <c r="E231" s="9">
        <v>1622727272.7272727</v>
      </c>
      <c r="F231" s="9">
        <v>162272727.27272743</v>
      </c>
      <c r="G231" s="9">
        <v>120690340.90909092</v>
      </c>
      <c r="H231" s="9">
        <v>2900625000</v>
      </c>
      <c r="I231" s="9">
        <v>203305752.84090912</v>
      </c>
      <c r="J231" s="9">
        <v>22312500000</v>
      </c>
      <c r="K231" s="9">
        <v>20284090909.090908</v>
      </c>
      <c r="L231" s="9">
        <v>2028409090.909093</v>
      </c>
      <c r="M231" s="11">
        <v>0.085</v>
      </c>
      <c r="N231" s="9">
        <v>23292390625</v>
      </c>
      <c r="O231" s="15" t="inlineStr">
        <is>
          <t xml:space="preserve">PASS</t>
        </is>
      </c>
      <c r="P231" s="0" t="inlineStr">
        <is>
          <t xml:space="preserve">ASM-CONSTRUCTION-SCHEDULE</t>
        </is>
      </c>
    </row>
    <row r="232">
      <c r="A232" s="0" t="inlineStr">
        <is>
          <t xml:space="preserve">VG-020</t>
        </is>
      </c>
      <c r="B232" s="23">
        <v>3</v>
      </c>
      <c r="C232" s="11">
        <v>0.1</v>
      </c>
      <c r="D232" s="9">
        <v>2231250000</v>
      </c>
      <c r="E232" s="9">
        <v>2028409090.909091</v>
      </c>
      <c r="F232" s="9">
        <v>202840909.0909093</v>
      </c>
      <c r="G232" s="9">
        <v>136495028.4090909</v>
      </c>
      <c r="H232" s="9">
        <v>5131875000</v>
      </c>
      <c r="I232" s="9">
        <v>339800781.25</v>
      </c>
      <c r="J232" s="9">
        <v>22312500000</v>
      </c>
      <c r="K232" s="9">
        <v>20284090909.090908</v>
      </c>
      <c r="L232" s="9">
        <v>2028409090.909093</v>
      </c>
      <c r="M232" s="11">
        <v>0.085</v>
      </c>
      <c r="N232" s="9">
        <v>23292390625</v>
      </c>
      <c r="O232" s="15" t="inlineStr">
        <is>
          <t xml:space="preserve">PASS</t>
        </is>
      </c>
      <c r="P232" s="0" t="inlineStr">
        <is>
          <t xml:space="preserve">ASM-CONSTRUCTION-SCHEDULE</t>
        </is>
      </c>
    </row>
    <row r="233">
      <c r="A233" s="0" t="inlineStr">
        <is>
          <t xml:space="preserve">VG-020</t>
        </is>
      </c>
      <c r="B233" s="23">
        <v>4</v>
      </c>
      <c r="C233" s="11">
        <v>0.12</v>
      </c>
      <c r="D233" s="9">
        <v>2677500000</v>
      </c>
      <c r="E233" s="9">
        <v>2434090909.090909</v>
      </c>
      <c r="F233" s="9">
        <v>243409090.90909114</v>
      </c>
      <c r="G233" s="9">
        <v>146552556.81818184</v>
      </c>
      <c r="H233" s="9">
        <v>7809375000</v>
      </c>
      <c r="I233" s="9">
        <v>486353338.0681819</v>
      </c>
      <c r="J233" s="9">
        <v>22312500000</v>
      </c>
      <c r="K233" s="9">
        <v>20284090909.090908</v>
      </c>
      <c r="L233" s="9">
        <v>2028409090.909093</v>
      </c>
      <c r="M233" s="11">
        <v>0.085</v>
      </c>
      <c r="N233" s="9">
        <v>23292390625</v>
      </c>
      <c r="O233" s="15" t="inlineStr">
        <is>
          <t xml:space="preserve">PASS</t>
        </is>
      </c>
      <c r="P233" s="0" t="inlineStr">
        <is>
          <t xml:space="preserve">ASM-CONSTRUCTION-SCHEDULE</t>
        </is>
      </c>
    </row>
    <row r="234">
      <c r="A234" s="0" t="inlineStr">
        <is>
          <t xml:space="preserve">VG-020</t>
        </is>
      </c>
      <c r="B234" s="23">
        <v>5</v>
      </c>
      <c r="C234" s="11">
        <v>0.14</v>
      </c>
      <c r="D234" s="9">
        <v>3123750000.0000005</v>
      </c>
      <c r="E234" s="9">
        <v>2839772727.2727275</v>
      </c>
      <c r="F234" s="9">
        <v>283977272.72727305</v>
      </c>
      <c r="G234" s="9">
        <v>150862926.13636366</v>
      </c>
      <c r="H234" s="9">
        <v>10933125000</v>
      </c>
      <c r="I234" s="9">
        <v>637216264.2045455</v>
      </c>
      <c r="J234" s="9">
        <v>22312500000</v>
      </c>
      <c r="K234" s="9">
        <v>20284090909.090908</v>
      </c>
      <c r="L234" s="9">
        <v>2028409090.909093</v>
      </c>
      <c r="M234" s="11">
        <v>0.085</v>
      </c>
      <c r="N234" s="9">
        <v>23292390625</v>
      </c>
      <c r="O234" s="15" t="inlineStr">
        <is>
          <t xml:space="preserve">PASS</t>
        </is>
      </c>
      <c r="P234" s="0" t="inlineStr">
        <is>
          <t xml:space="preserve">ASM-CONSTRUCTION-SCHEDULE</t>
        </is>
      </c>
    </row>
    <row r="235">
      <c r="A235" s="0" t="inlineStr">
        <is>
          <t xml:space="preserve">VG-020</t>
        </is>
      </c>
      <c r="B235" s="23">
        <v>6</v>
      </c>
      <c r="C235" s="11">
        <v>0.14</v>
      </c>
      <c r="D235" s="9">
        <v>3123750000.0000005</v>
      </c>
      <c r="E235" s="9">
        <v>2839772727.2727275</v>
      </c>
      <c r="F235" s="9">
        <v>283977272.72727305</v>
      </c>
      <c r="G235" s="9">
        <v>130747869.31818183</v>
      </c>
      <c r="H235" s="9">
        <v>14056875000</v>
      </c>
      <c r="I235" s="9">
        <v>767964133.5227274</v>
      </c>
      <c r="J235" s="9">
        <v>22312500000</v>
      </c>
      <c r="K235" s="9">
        <v>20284090909.090908</v>
      </c>
      <c r="L235" s="9">
        <v>2028409090.909093</v>
      </c>
      <c r="M235" s="11">
        <v>0.085</v>
      </c>
      <c r="N235" s="9">
        <v>23292390625</v>
      </c>
      <c r="O235" s="15" t="inlineStr">
        <is>
          <t xml:space="preserve">PASS</t>
        </is>
      </c>
      <c r="P235" s="0" t="inlineStr">
        <is>
          <t xml:space="preserve">ASM-CONSTRUCTION-SCHEDULE</t>
        </is>
      </c>
    </row>
    <row r="236">
      <c r="A236" s="0" t="inlineStr">
        <is>
          <t xml:space="preserve">VG-020</t>
        </is>
      </c>
      <c r="B236" s="23">
        <v>7</v>
      </c>
      <c r="C236" s="11">
        <v>0.12</v>
      </c>
      <c r="D236" s="9">
        <v>2677500000</v>
      </c>
      <c r="E236" s="9">
        <v>2434090909.090909</v>
      </c>
      <c r="F236" s="9">
        <v>243409090.90909114</v>
      </c>
      <c r="G236" s="9">
        <v>94828125</v>
      </c>
      <c r="H236" s="9">
        <v>16734375000</v>
      </c>
      <c r="I236" s="9">
        <v>862792258.5227274</v>
      </c>
      <c r="J236" s="9">
        <v>22312500000</v>
      </c>
      <c r="K236" s="9">
        <v>20284090909.090908</v>
      </c>
      <c r="L236" s="9">
        <v>2028409090.909093</v>
      </c>
      <c r="M236" s="11">
        <v>0.085</v>
      </c>
      <c r="N236" s="9">
        <v>23292390625</v>
      </c>
      <c r="O236" s="15" t="inlineStr">
        <is>
          <t xml:space="preserve">PASS</t>
        </is>
      </c>
      <c r="P236" s="0" t="inlineStr">
        <is>
          <t xml:space="preserve">ASM-CONSTRUCTION-SCHEDULE</t>
        </is>
      </c>
    </row>
    <row r="237">
      <c r="A237" s="0" t="inlineStr">
        <is>
          <t xml:space="preserve">VG-020</t>
        </is>
      </c>
      <c r="B237" s="23">
        <v>8</v>
      </c>
      <c r="C237" s="11">
        <v>0.1</v>
      </c>
      <c r="D237" s="9">
        <v>2231250000</v>
      </c>
      <c r="E237" s="9">
        <v>2028409090.909091</v>
      </c>
      <c r="F237" s="9">
        <v>202840909.0909093</v>
      </c>
      <c r="G237" s="9">
        <v>64655539.77272728</v>
      </c>
      <c r="H237" s="9">
        <v>18965625000</v>
      </c>
      <c r="I237" s="9">
        <v>927447798.2954546</v>
      </c>
      <c r="J237" s="9">
        <v>22312500000</v>
      </c>
      <c r="K237" s="9">
        <v>20284090909.090908</v>
      </c>
      <c r="L237" s="9">
        <v>2028409090.909093</v>
      </c>
      <c r="M237" s="11">
        <v>0.085</v>
      </c>
      <c r="N237" s="9">
        <v>23292390625</v>
      </c>
      <c r="O237" s="15" t="inlineStr">
        <is>
          <t xml:space="preserve">PASS</t>
        </is>
      </c>
      <c r="P237" s="0" t="inlineStr">
        <is>
          <t xml:space="preserve">ASM-CONSTRUCTION-SCHEDULE</t>
        </is>
      </c>
    </row>
    <row r="238">
      <c r="A238" s="0" t="inlineStr">
        <is>
          <t xml:space="preserve">VG-020</t>
        </is>
      </c>
      <c r="B238" s="23">
        <v>9</v>
      </c>
      <c r="C238" s="11">
        <v>0.06</v>
      </c>
      <c r="D238" s="9">
        <v>1338750000</v>
      </c>
      <c r="E238" s="9">
        <v>1217045454.5454545</v>
      </c>
      <c r="F238" s="9">
        <v>121704545.45454557</v>
      </c>
      <c r="G238" s="9">
        <v>30172585.22727273</v>
      </c>
      <c r="H238" s="9">
        <v>20304375000</v>
      </c>
      <c r="I238" s="9">
        <v>957620383.5227274</v>
      </c>
      <c r="J238" s="9">
        <v>22312500000</v>
      </c>
      <c r="K238" s="9">
        <v>20284090909.090908</v>
      </c>
      <c r="L238" s="9">
        <v>2028409090.909093</v>
      </c>
      <c r="M238" s="11">
        <v>0.085</v>
      </c>
      <c r="N238" s="9">
        <v>23292390625</v>
      </c>
      <c r="O238" s="15" t="inlineStr">
        <is>
          <t xml:space="preserve">PASS</t>
        </is>
      </c>
      <c r="P238" s="0" t="inlineStr">
        <is>
          <t xml:space="preserve">ASM-CONSTRUCTION-SCHEDULE</t>
        </is>
      </c>
    </row>
    <row r="239">
      <c r="A239" s="0" t="inlineStr">
        <is>
          <t xml:space="preserve">VG-020</t>
        </is>
      </c>
      <c r="B239" s="23">
        <v>10</v>
      </c>
      <c r="C239" s="11">
        <v>0.04</v>
      </c>
      <c r="D239" s="9">
        <v>892500000</v>
      </c>
      <c r="E239" s="9">
        <v>811363636.3636364</v>
      </c>
      <c r="F239" s="9">
        <v>81136363.63636371</v>
      </c>
      <c r="G239" s="9">
        <v>14367897.727272728</v>
      </c>
      <c r="H239" s="9">
        <v>21196875000</v>
      </c>
      <c r="I239" s="9">
        <v>971988281.2500001</v>
      </c>
      <c r="J239" s="9">
        <v>22312500000</v>
      </c>
      <c r="K239" s="9">
        <v>20284090909.090908</v>
      </c>
      <c r="L239" s="9">
        <v>2028409090.909093</v>
      </c>
      <c r="M239" s="11">
        <v>0.085</v>
      </c>
      <c r="N239" s="9">
        <v>23292390625</v>
      </c>
      <c r="O239" s="15" t="inlineStr">
        <is>
          <t xml:space="preserve">PASS</t>
        </is>
      </c>
      <c r="P239" s="0" t="inlineStr">
        <is>
          <t xml:space="preserve">ASM-CONSTRUCTION-SCHEDULE</t>
        </is>
      </c>
    </row>
    <row r="240">
      <c r="A240" s="0" t="inlineStr">
        <is>
          <t xml:space="preserve">VG-020</t>
        </is>
      </c>
      <c r="B240" s="23">
        <v>11</v>
      </c>
      <c r="C240" s="11">
        <v>0.03</v>
      </c>
      <c r="D240" s="9">
        <v>669375000</v>
      </c>
      <c r="E240" s="9">
        <v>608522727.2727273</v>
      </c>
      <c r="F240" s="9">
        <v>60852272.727272786</v>
      </c>
      <c r="G240" s="9">
        <v>6465553.9772727275</v>
      </c>
      <c r="H240" s="9">
        <v>21866250000</v>
      </c>
      <c r="I240" s="9">
        <v>978453835.2272729</v>
      </c>
      <c r="J240" s="9">
        <v>22312500000</v>
      </c>
      <c r="K240" s="9">
        <v>20284090909.090908</v>
      </c>
      <c r="L240" s="9">
        <v>2028409090.909093</v>
      </c>
      <c r="M240" s="11">
        <v>0.085</v>
      </c>
      <c r="N240" s="9">
        <v>23292390625</v>
      </c>
      <c r="O240" s="15" t="inlineStr">
        <is>
          <t xml:space="preserve">PASS</t>
        </is>
      </c>
      <c r="P240" s="0" t="inlineStr">
        <is>
          <t xml:space="preserve">ASM-CONSTRUCTION-SCHEDULE</t>
        </is>
      </c>
    </row>
    <row r="241">
      <c r="A241" s="0" t="inlineStr">
        <is>
          <t xml:space="preserve">VG-020</t>
        </is>
      </c>
      <c r="B241" s="23">
        <v>12</v>
      </c>
      <c r="C241" s="11">
        <v>0.02</v>
      </c>
      <c r="D241" s="9">
        <v>446250000</v>
      </c>
      <c r="E241" s="9">
        <v>405681818.1818182</v>
      </c>
      <c r="F241" s="9">
        <v>40568181.81818186</v>
      </c>
      <c r="G241" s="9">
        <v>1436789.7727272727</v>
      </c>
      <c r="H241" s="9">
        <v>22312500000</v>
      </c>
      <c r="I241" s="9">
        <v>979890625.0000001</v>
      </c>
      <c r="J241" s="9">
        <v>22312500000</v>
      </c>
      <c r="K241" s="9">
        <v>20284090909.090908</v>
      </c>
      <c r="L241" s="9">
        <v>2028409090.909093</v>
      </c>
      <c r="M241" s="11">
        <v>0.085</v>
      </c>
      <c r="N241" s="9">
        <v>23292390625</v>
      </c>
      <c r="O241" s="15" t="inlineStr">
        <is>
          <t xml:space="preserve">PASS</t>
        </is>
      </c>
      <c r="P241" s="0" t="inlineStr">
        <is>
          <t xml:space="preserve">ASM-CONSTRUCTION-SCHEDULE</t>
        </is>
      </c>
    </row>
  </sheetData>
  <autoFilter ref="A1:P241"/>
  <pageMargins left="0.35" right="0.35" top="0.5" bottom="0.5" header="0.2" footer="0.2"/>
</worksheet>
</file>

<file path=xl/worksheets/sheet9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0.00" customWidth="1"/>
    <col min="3" max="3" width="16.20" customWidth="1"/>
    <col min="4" max="4" width="16.20" customWidth="1"/>
    <col min="5" max="5" width="16.20" customWidth="1"/>
    <col min="6" max="6" width="16.20" customWidth="1"/>
    <col min="7" max="7" width="18.00" customWidth="1"/>
    <col min="8" max="8" width="18.00" customWidth="1"/>
    <col min="9" max="9" width="16.20" customWidth="1"/>
    <col min="10" max="10" width="17.10" customWidth="1"/>
    <col min="11" max="11" width="22.50" customWidth="1"/>
    <col min="12" max="12" width="16.20" customWidth="1"/>
    <col min="13" max="13" width="16.20" customWidth="1"/>
    <col min="14" max="14" width="16.20" customWidth="1"/>
    <col min="15" max="15" width="19.80" customWidth="1"/>
    <col min="16" max="16" width="16.20" customWidth="1"/>
    <col min="17" max="17" width="18.90" customWidth="1"/>
    <col min="18" max="18" width="16.20" customWidth="1"/>
    <col min="19" max="19" width="18.00" customWidth="1"/>
    <col min="20" max="20" width="18.90" customWidth="1"/>
    <col min="21" max="21" width="16.20" customWidth="1"/>
    <col min="22" max="22" width="18.00" customWidth="1"/>
    <col min="23" max="23" width="16.20" customWidth="1"/>
    <col min="24" max="24" width="20.4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year</t>
        </is>
      </c>
      <c r="C1" s="4" t="inlineStr">
        <is>
          <t xml:space="preserve">revenue_vnd</t>
        </is>
      </c>
      <c r="D1" s="4" t="inlineStr">
        <is>
          <t xml:space="preserve">opex_vnd</t>
        </is>
      </c>
      <c r="E1" s="4" t="inlineStr">
        <is>
          <t xml:space="preserve">depreciation_vnd</t>
        </is>
      </c>
      <c r="F1" s="4" t="inlineStr">
        <is>
          <t xml:space="preserve">taxable_income_vnd</t>
        </is>
      </c>
      <c r="G1" s="4" t="inlineStr">
        <is>
          <t xml:space="preserve">tax_loss_opening_vnd</t>
        </is>
      </c>
      <c r="H1" s="4" t="inlineStr">
        <is>
          <t xml:space="preserve">tax_loss_closing_vnd</t>
        </is>
      </c>
      <c r="I1" s="4" t="inlineStr">
        <is>
          <t xml:space="preserve">tax_vnd</t>
        </is>
      </c>
      <c r="J1" s="4" t="inlineStr">
        <is>
          <t xml:space="preserve">working_capital_vnd</t>
        </is>
      </c>
      <c r="K1" s="4" t="inlineStr">
        <is>
          <t xml:space="preserve">delta_working_capital_vnd</t>
        </is>
      </c>
      <c r="L1" s="4" t="inlineStr">
        <is>
          <t xml:space="preserve">capex_vnd</t>
        </is>
      </c>
      <c r="M1" s="4" t="inlineStr">
        <is>
          <t xml:space="preserve">capex_net_vnd</t>
        </is>
      </c>
      <c r="N1" s="4" t="inlineStr">
        <is>
          <t xml:space="preserve">vat_paid_vnd</t>
        </is>
      </c>
      <c r="O1" s="4" t="inlineStr">
        <is>
          <t xml:space="preserve">construction_capex_vnd</t>
        </is>
      </c>
      <c r="P1" s="4" t="inlineStr">
        <is>
          <t xml:space="preserve">idc_vnd</t>
        </is>
      </c>
      <c r="Q1" s="4" t="inlineStr">
        <is>
          <t xml:space="preserve">major_maintenance_vnd</t>
        </is>
      </c>
      <c r="R1" s="4" t="inlineStr">
        <is>
          <t xml:space="preserve">terminal_value_vnd</t>
        </is>
      </c>
      <c r="S1" s="4" t="inlineStr">
        <is>
          <t xml:space="preserve">terminal_release_vnd</t>
        </is>
      </c>
      <c r="T1" s="4" t="inlineStr">
        <is>
          <t xml:space="preserve">terminal_branch</t>
        </is>
      </c>
      <c r="U1" s="4" t="inlineStr">
        <is>
          <t xml:space="preserve">cfads_vnd</t>
        </is>
      </c>
      <c r="V1" s="4" t="inlineStr">
        <is>
          <t xml:space="preserve">sources_vnd</t>
        </is>
      </c>
      <c r="W1" s="4" t="inlineStr">
        <is>
          <t xml:space="preserve">uses_vnd</t>
        </is>
      </c>
      <c r="X1" s="4" t="inlineStr">
        <is>
          <t xml:space="preserve">sources_uses_balance_vnd</t>
        </is>
      </c>
    </row>
    <row r="2">
      <c r="A2" s="0" t="inlineStr">
        <is>
          <t xml:space="preserve">VG-001</t>
        </is>
      </c>
      <c r="B2" s="23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31056520833.333332</v>
      </c>
      <c r="M2" s="9">
        <v>28351975378.787876</v>
      </c>
      <c r="N2" s="9">
        <v>2704545454.545457</v>
      </c>
      <c r="O2" s="9">
        <v>29750000000</v>
      </c>
      <c r="P2" s="9">
        <v>1306520833.3333335</v>
      </c>
      <c r="Q2" s="9">
        <v>0</v>
      </c>
      <c r="R2" s="9">
        <v>0</v>
      </c>
      <c r="S2" s="9">
        <v>0</v>
      </c>
      <c r="T2" s="0" t="inlineStr">
        <is>
          <t xml:space="preserve">ZERO_RESIDUAL_NO_SALE</t>
        </is>
      </c>
      <c r="U2" s="9">
        <v>0</v>
      </c>
      <c r="V2" s="9">
        <v>31056520833.333332</v>
      </c>
      <c r="W2" s="9">
        <v>31056520833.333332</v>
      </c>
      <c r="X2" s="9">
        <v>0</v>
      </c>
    </row>
    <row r="3">
      <c r="A3" s="0" t="inlineStr">
        <is>
          <t xml:space="preserve">VG-001</t>
        </is>
      </c>
      <c r="B3" s="23">
        <v>1</v>
      </c>
      <c r="C3" s="9">
        <v>3845226000</v>
      </c>
      <c r="D3" s="9">
        <v>525000000</v>
      </c>
      <c r="E3" s="9">
        <v>1890131691.9191918</v>
      </c>
      <c r="F3" s="9">
        <v>1430094308.0808082</v>
      </c>
      <c r="G3" s="9">
        <v>0</v>
      </c>
      <c r="H3" s="9">
        <v>0</v>
      </c>
      <c r="I3" s="9">
        <v>286018861.61616164</v>
      </c>
      <c r="J3" s="9">
        <v>316045972.60273975</v>
      </c>
      <c r="K3" s="9">
        <v>316045972.60273975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0" t="inlineStr">
        <is>
          <t xml:space="preserve">ZERO_RESIDUAL_NO_SALE</t>
        </is>
      </c>
      <c r="U3" s="9">
        <v>2718161165.7810984</v>
      </c>
      <c r="V3" s="9">
        <v>0</v>
      </c>
      <c r="W3" s="9">
        <v>0</v>
      </c>
      <c r="X3" s="9">
        <v>0</v>
      </c>
    </row>
    <row r="4">
      <c r="A4" s="0" t="inlineStr">
        <is>
          <t xml:space="preserve">VG-001</t>
        </is>
      </c>
      <c r="B4" s="23">
        <v>2</v>
      </c>
      <c r="C4" s="9">
        <v>3864259868.7</v>
      </c>
      <c r="D4" s="9">
        <v>535500000</v>
      </c>
      <c r="E4" s="9">
        <v>1890131691.9191918</v>
      </c>
      <c r="F4" s="9">
        <v>1438628176.780808</v>
      </c>
      <c r="G4" s="9">
        <v>0</v>
      </c>
      <c r="H4" s="9">
        <v>0</v>
      </c>
      <c r="I4" s="9">
        <v>287725635.3561616</v>
      </c>
      <c r="J4" s="9">
        <v>317610400.16712326</v>
      </c>
      <c r="K4" s="9">
        <v>1564427.5643835068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0" t="inlineStr">
        <is>
          <t xml:space="preserve">ZERO_RESIDUAL_NO_SALE</t>
        </is>
      </c>
      <c r="U4" s="9">
        <v>3039469805.7794547</v>
      </c>
      <c r="V4" s="9">
        <v>0</v>
      </c>
      <c r="W4" s="9">
        <v>0</v>
      </c>
      <c r="X4" s="9">
        <v>0</v>
      </c>
    </row>
    <row r="5">
      <c r="A5" s="0" t="inlineStr">
        <is>
          <t xml:space="preserve">VG-001</t>
        </is>
      </c>
      <c r="B5" s="23">
        <v>3</v>
      </c>
      <c r="C5" s="9">
        <v>3883387955.0500655</v>
      </c>
      <c r="D5" s="9">
        <v>546210000</v>
      </c>
      <c r="E5" s="9">
        <v>1890131691.9191918</v>
      </c>
      <c r="F5" s="9">
        <v>1447046263.1308737</v>
      </c>
      <c r="G5" s="9">
        <v>0</v>
      </c>
      <c r="H5" s="9">
        <v>0</v>
      </c>
      <c r="I5" s="9">
        <v>289409252.62617475</v>
      </c>
      <c r="J5" s="9">
        <v>319182571.6479506</v>
      </c>
      <c r="K5" s="9">
        <v>1572171.4808273315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0" t="inlineStr">
        <is>
          <t xml:space="preserve">ZERO_RESIDUAL_NO_SALE</t>
        </is>
      </c>
      <c r="U5" s="9">
        <v>3046196530.9430633</v>
      </c>
      <c r="V5" s="9">
        <v>0</v>
      </c>
      <c r="W5" s="9">
        <v>0</v>
      </c>
      <c r="X5" s="9">
        <v>0</v>
      </c>
    </row>
    <row r="6">
      <c r="A6" s="0" t="inlineStr">
        <is>
          <t xml:space="preserve">VG-001</t>
        </is>
      </c>
      <c r="B6" s="23">
        <v>4</v>
      </c>
      <c r="C6" s="9">
        <v>3902610725.427563</v>
      </c>
      <c r="D6" s="9">
        <v>557134200.0000001</v>
      </c>
      <c r="E6" s="9">
        <v>1890131691.9191918</v>
      </c>
      <c r="F6" s="9">
        <v>1455344833.5083714</v>
      </c>
      <c r="G6" s="9">
        <v>0</v>
      </c>
      <c r="H6" s="9">
        <v>0</v>
      </c>
      <c r="I6" s="9">
        <v>291068966.7016743</v>
      </c>
      <c r="J6" s="9">
        <v>320762525.37760794</v>
      </c>
      <c r="K6" s="9">
        <v>1579953.729657352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0" t="inlineStr">
        <is>
          <t xml:space="preserve">ZERO_RESIDUAL_NO_SALE</t>
        </is>
      </c>
      <c r="U6" s="9">
        <v>3052827604.9962316</v>
      </c>
      <c r="V6" s="9">
        <v>0</v>
      </c>
      <c r="W6" s="9">
        <v>0</v>
      </c>
      <c r="X6" s="9">
        <v>0</v>
      </c>
    </row>
    <row r="7">
      <c r="A7" s="0" t="inlineStr">
        <is>
          <t xml:space="preserve">VG-001</t>
        </is>
      </c>
      <c r="B7" s="23">
        <v>5</v>
      </c>
      <c r="C7" s="9">
        <v>3921928648.5184293</v>
      </c>
      <c r="D7" s="9">
        <v>568276884</v>
      </c>
      <c r="E7" s="9">
        <v>1890131691.9191918</v>
      </c>
      <c r="F7" s="9">
        <v>1463520072.5992374</v>
      </c>
      <c r="G7" s="9">
        <v>0</v>
      </c>
      <c r="H7" s="9">
        <v>0</v>
      </c>
      <c r="I7" s="9">
        <v>292704014.5198475</v>
      </c>
      <c r="J7" s="9">
        <v>322350299.87822706</v>
      </c>
      <c r="K7" s="9">
        <v>1587774.5006191134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141759876.89393938</v>
      </c>
      <c r="R7" s="9">
        <v>0</v>
      </c>
      <c r="S7" s="9">
        <v>0</v>
      </c>
      <c r="T7" s="0" t="inlineStr">
        <is>
          <t xml:space="preserve">ZERO_RESIDUAL_NO_SALE</t>
        </is>
      </c>
      <c r="U7" s="9">
        <v>2917600098.6040235</v>
      </c>
      <c r="V7" s="9">
        <v>0</v>
      </c>
      <c r="W7" s="9">
        <v>0</v>
      </c>
      <c r="X7" s="9">
        <v>0</v>
      </c>
    </row>
    <row r="8">
      <c r="A8" s="0" t="inlineStr">
        <is>
          <t xml:space="preserve">VG-001</t>
        </is>
      </c>
      <c r="B8" s="23">
        <v>6</v>
      </c>
      <c r="C8" s="9">
        <v>3941342195.328596</v>
      </c>
      <c r="D8" s="9">
        <v>579642421.6800001</v>
      </c>
      <c r="E8" s="9">
        <v>1890131691.9191918</v>
      </c>
      <c r="F8" s="9">
        <v>1471568081.729404</v>
      </c>
      <c r="G8" s="9">
        <v>0</v>
      </c>
      <c r="H8" s="9">
        <v>0</v>
      </c>
      <c r="I8" s="9">
        <v>294313616.3458808</v>
      </c>
      <c r="J8" s="9">
        <v>323945933.86262435</v>
      </c>
      <c r="K8" s="9">
        <v>1595633.9843972921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0" t="inlineStr">
        <is>
          <t xml:space="preserve">ZERO_RESIDUAL_NO_SALE</t>
        </is>
      </c>
      <c r="U8" s="9">
        <v>3065790523.3183174</v>
      </c>
      <c r="V8" s="9">
        <v>0</v>
      </c>
      <c r="W8" s="9">
        <v>0</v>
      </c>
      <c r="X8" s="9">
        <v>0</v>
      </c>
    </row>
    <row r="9">
      <c r="A9" s="0" t="inlineStr">
        <is>
          <t xml:space="preserve">VG-001</t>
        </is>
      </c>
      <c r="B9" s="23">
        <v>7</v>
      </c>
      <c r="C9" s="9">
        <v>3960851839.1954727</v>
      </c>
      <c r="D9" s="9">
        <v>591235270.1136</v>
      </c>
      <c r="E9" s="9">
        <v>1890131691.9191918</v>
      </c>
      <c r="F9" s="9">
        <v>1479484877.162681</v>
      </c>
      <c r="G9" s="9">
        <v>0</v>
      </c>
      <c r="H9" s="9">
        <v>0</v>
      </c>
      <c r="I9" s="9">
        <v>295896975.43253624</v>
      </c>
      <c r="J9" s="9">
        <v>325549466.23524433</v>
      </c>
      <c r="K9" s="9">
        <v>1603532.3726199865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0" t="inlineStr">
        <is>
          <t xml:space="preserve">ZERO_RESIDUAL_NO_SALE</t>
        </is>
      </c>
      <c r="U9" s="9">
        <v>3072116061.2767167</v>
      </c>
      <c r="V9" s="9">
        <v>0</v>
      </c>
      <c r="W9" s="9">
        <v>0</v>
      </c>
      <c r="X9" s="9">
        <v>0</v>
      </c>
    </row>
    <row r="10">
      <c r="A10" s="0" t="inlineStr">
        <is>
          <t xml:space="preserve">VG-001</t>
        </is>
      </c>
      <c r="B10" s="23">
        <v>8</v>
      </c>
      <c r="C10" s="9">
        <v>3980458055.7994895</v>
      </c>
      <c r="D10" s="9">
        <v>603059975.515872</v>
      </c>
      <c r="E10" s="9">
        <v>1890131691.9191918</v>
      </c>
      <c r="F10" s="9">
        <v>1487266388.3644257</v>
      </c>
      <c r="G10" s="9">
        <v>0</v>
      </c>
      <c r="H10" s="9">
        <v>0</v>
      </c>
      <c r="I10" s="9">
        <v>297453277.6728851</v>
      </c>
      <c r="J10" s="9">
        <v>327160936.0931087</v>
      </c>
      <c r="K10" s="9">
        <v>1611469.8578643799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0" t="inlineStr">
        <is>
          <t xml:space="preserve">ZERO_RESIDUAL_NO_SALE</t>
        </is>
      </c>
      <c r="U10" s="9">
        <v>3078333332.752868</v>
      </c>
      <c r="V10" s="9">
        <v>0</v>
      </c>
      <c r="W10" s="9">
        <v>0</v>
      </c>
      <c r="X10" s="9">
        <v>0</v>
      </c>
    </row>
    <row r="11">
      <c r="A11" s="0" t="inlineStr">
        <is>
          <t xml:space="preserve">VG-001</t>
        </is>
      </c>
      <c r="B11" s="23">
        <v>9</v>
      </c>
      <c r="C11" s="9">
        <v>4000161323.1756973</v>
      </c>
      <c r="D11" s="9">
        <v>615121175.0261896</v>
      </c>
      <c r="E11" s="9">
        <v>1890131691.9191918</v>
      </c>
      <c r="F11" s="9">
        <v>1494908456.2303157</v>
      </c>
      <c r="G11" s="9">
        <v>0</v>
      </c>
      <c r="H11" s="9">
        <v>0</v>
      </c>
      <c r="I11" s="9">
        <v>298981691.2460632</v>
      </c>
      <c r="J11" s="9">
        <v>328780382.7267696</v>
      </c>
      <c r="K11" s="9">
        <v>1619446.6336609125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0" t="inlineStr">
        <is>
          <t xml:space="preserve">ZERO_RESIDUAL_NO_SALE</t>
        </is>
      </c>
      <c r="U11" s="9">
        <v>3084439010.2697835</v>
      </c>
      <c r="V11" s="9">
        <v>0</v>
      </c>
      <c r="W11" s="9">
        <v>0</v>
      </c>
      <c r="X11" s="9">
        <v>0</v>
      </c>
    </row>
    <row r="12">
      <c r="A12" s="0" t="inlineStr">
        <is>
          <t xml:space="preserve">VG-001</t>
        </is>
      </c>
      <c r="B12" s="23">
        <v>10</v>
      </c>
      <c r="C12" s="9">
        <v>4019962121.725416</v>
      </c>
      <c r="D12" s="9">
        <v>627423598.5267133</v>
      </c>
      <c r="E12" s="9">
        <v>1890131691.9191918</v>
      </c>
      <c r="F12" s="9">
        <v>1502406831.279511</v>
      </c>
      <c r="G12" s="9">
        <v>0</v>
      </c>
      <c r="H12" s="9">
        <v>0</v>
      </c>
      <c r="I12" s="9">
        <v>300481366.25590223</v>
      </c>
      <c r="J12" s="9">
        <v>330407845.6212671</v>
      </c>
      <c r="K12" s="9">
        <v>1627462.8944974542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141759876.89393938</v>
      </c>
      <c r="R12" s="9">
        <v>0</v>
      </c>
      <c r="S12" s="9">
        <v>0</v>
      </c>
      <c r="T12" s="0" t="inlineStr">
        <is>
          <t xml:space="preserve">ZERO_RESIDUAL_NO_SALE</t>
        </is>
      </c>
      <c r="U12" s="9">
        <v>2948669817.1543636</v>
      </c>
      <c r="V12" s="9">
        <v>0</v>
      </c>
      <c r="W12" s="9">
        <v>0</v>
      </c>
      <c r="X12" s="9">
        <v>0</v>
      </c>
    </row>
    <row r="13">
      <c r="A13" s="0" t="inlineStr">
        <is>
          <t xml:space="preserve">VG-001</t>
        </is>
      </c>
      <c r="B13" s="23">
        <v>11</v>
      </c>
      <c r="C13" s="9">
        <v>4039860934.2279577</v>
      </c>
      <c r="D13" s="9">
        <v>639972070.4972476</v>
      </c>
      <c r="E13" s="9">
        <v>1890131691.9191918</v>
      </c>
      <c r="F13" s="9">
        <v>1509757171.8115182</v>
      </c>
      <c r="G13" s="9">
        <v>0</v>
      </c>
      <c r="H13" s="9">
        <v>0</v>
      </c>
      <c r="I13" s="9">
        <v>301951434.3623037</v>
      </c>
      <c r="J13" s="9">
        <v>332043364.4570924</v>
      </c>
      <c r="K13" s="9">
        <v>1635518.835825324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0" t="inlineStr">
        <is>
          <t xml:space="preserve">ZERO_RESIDUAL_NO_SALE</t>
        </is>
      </c>
      <c r="U13" s="9">
        <v>3096301910.532581</v>
      </c>
      <c r="V13" s="9">
        <v>0</v>
      </c>
      <c r="W13" s="9">
        <v>0</v>
      </c>
      <c r="X13" s="9">
        <v>0</v>
      </c>
    </row>
    <row r="14">
      <c r="A14" s="0" t="inlineStr">
        <is>
          <t xml:space="preserve">VG-001</t>
        </is>
      </c>
      <c r="B14" s="23">
        <v>12</v>
      </c>
      <c r="C14" s="9">
        <v>4059858245.852386</v>
      </c>
      <c r="D14" s="9">
        <v>652771511.9071926</v>
      </c>
      <c r="E14" s="9">
        <v>1890131691.9191918</v>
      </c>
      <c r="F14" s="9">
        <v>1516955042.0260015</v>
      </c>
      <c r="G14" s="9">
        <v>0</v>
      </c>
      <c r="H14" s="9">
        <v>0</v>
      </c>
      <c r="I14" s="9">
        <v>303391008.4052003</v>
      </c>
      <c r="J14" s="9">
        <v>333686979.11115503</v>
      </c>
      <c r="K14" s="9">
        <v>1643614.6540626287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0" t="inlineStr">
        <is>
          <t xml:space="preserve">ZERO_RESIDUAL_NO_SALE</t>
        </is>
      </c>
      <c r="U14" s="9">
        <v>3102052110.88593</v>
      </c>
      <c r="V14" s="9">
        <v>0</v>
      </c>
      <c r="W14" s="9">
        <v>0</v>
      </c>
      <c r="X14" s="9">
        <v>0</v>
      </c>
    </row>
    <row r="15">
      <c r="A15" s="0" t="inlineStr">
        <is>
          <t xml:space="preserve">VG-001</t>
        </is>
      </c>
      <c r="B15" s="23">
        <v>13</v>
      </c>
      <c r="C15" s="9">
        <v>4079954544.1693554</v>
      </c>
      <c r="D15" s="9">
        <v>665826942.1453364</v>
      </c>
      <c r="E15" s="9">
        <v>1890131691.9191918</v>
      </c>
      <c r="F15" s="9">
        <v>1523995910.1048274</v>
      </c>
      <c r="G15" s="9">
        <v>0</v>
      </c>
      <c r="H15" s="9">
        <v>0</v>
      </c>
      <c r="I15" s="9">
        <v>304799182.0209655</v>
      </c>
      <c r="J15" s="9">
        <v>335338729.65775526</v>
      </c>
      <c r="K15" s="9">
        <v>1651750.5466002226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0" t="inlineStr">
        <is>
          <t xml:space="preserve">ZERO_RESIDUAL_NO_SALE</t>
        </is>
      </c>
      <c r="U15" s="9">
        <v>3107676669.4564533</v>
      </c>
      <c r="V15" s="9">
        <v>0</v>
      </c>
      <c r="W15" s="9">
        <v>0</v>
      </c>
      <c r="X15" s="9">
        <v>0</v>
      </c>
    </row>
    <row r="16">
      <c r="A16" s="0" t="inlineStr">
        <is>
          <t xml:space="preserve">VG-001</t>
        </is>
      </c>
      <c r="B16" s="23">
        <v>14</v>
      </c>
      <c r="C16" s="9">
        <v>4100150319.1629934</v>
      </c>
      <c r="D16" s="9">
        <v>679143480.9882432</v>
      </c>
      <c r="E16" s="9">
        <v>1890131691.9191918</v>
      </c>
      <c r="F16" s="9">
        <v>1530875146.2555585</v>
      </c>
      <c r="G16" s="9">
        <v>0</v>
      </c>
      <c r="H16" s="9">
        <v>0</v>
      </c>
      <c r="I16" s="9">
        <v>306175029.2511117</v>
      </c>
      <c r="J16" s="9">
        <v>336998656.3695611</v>
      </c>
      <c r="K16" s="9">
        <v>1659926.7118058205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0" t="inlineStr">
        <is>
          <t xml:space="preserve">ZERO_RESIDUAL_NO_SALE</t>
        </is>
      </c>
      <c r="U16" s="9">
        <v>3113171882.211833</v>
      </c>
      <c r="V16" s="9">
        <v>0</v>
      </c>
      <c r="W16" s="9">
        <v>0</v>
      </c>
      <c r="X16" s="9">
        <v>0</v>
      </c>
    </row>
    <row r="17">
      <c r="A17" s="0" t="inlineStr">
        <is>
          <t xml:space="preserve">VG-001</t>
        </is>
      </c>
      <c r="B17" s="23">
        <v>15</v>
      </c>
      <c r="C17" s="9">
        <v>4120446063.2428513</v>
      </c>
      <c r="D17" s="9">
        <v>692726350.608008</v>
      </c>
      <c r="E17" s="9">
        <v>1890131691.9191918</v>
      </c>
      <c r="F17" s="9">
        <v>1537588020.7156515</v>
      </c>
      <c r="G17" s="9">
        <v>0</v>
      </c>
      <c r="H17" s="9">
        <v>0</v>
      </c>
      <c r="I17" s="9">
        <v>307517604.1431303</v>
      </c>
      <c r="J17" s="9">
        <v>0</v>
      </c>
      <c r="K17" s="9">
        <v>-336998656.3695611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336998656.3695611</v>
      </c>
      <c r="T17" s="0" t="inlineStr">
        <is>
          <t xml:space="preserve">ZERO_RESIDUAL_NO_SALE</t>
        </is>
      </c>
      <c r="U17" s="9">
        <v>3457200764.8612742</v>
      </c>
      <c r="V17" s="9">
        <v>0</v>
      </c>
      <c r="W17" s="9">
        <v>0</v>
      </c>
      <c r="X17" s="9">
        <v>0</v>
      </c>
    </row>
    <row r="18">
      <c r="A18" s="0" t="inlineStr">
        <is>
          <t xml:space="preserve">VG-002</t>
        </is>
      </c>
      <c r="B18" s="23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33274843750</v>
      </c>
      <c r="M18" s="9">
        <v>30377116477.272724</v>
      </c>
      <c r="N18" s="9">
        <v>2897727272.727276</v>
      </c>
      <c r="O18" s="9">
        <v>31875000000</v>
      </c>
      <c r="P18" s="9">
        <v>1399843750</v>
      </c>
      <c r="Q18" s="9">
        <v>0</v>
      </c>
      <c r="R18" s="9">
        <v>0</v>
      </c>
      <c r="S18" s="9">
        <v>0</v>
      </c>
      <c r="T18" s="0" t="inlineStr">
        <is>
          <t xml:space="preserve">ZERO_RESIDUAL_NO_SALE</t>
        </is>
      </c>
      <c r="U18" s="9">
        <v>0</v>
      </c>
      <c r="V18" s="9">
        <v>33274843750</v>
      </c>
      <c r="W18" s="9">
        <v>33274843750</v>
      </c>
      <c r="X18" s="9">
        <v>0</v>
      </c>
    </row>
    <row r="19">
      <c r="A19" s="0" t="inlineStr">
        <is>
          <t xml:space="preserve">VG-002</t>
        </is>
      </c>
      <c r="B19" s="23">
        <v>1</v>
      </c>
      <c r="C19" s="9">
        <v>4284680400.0000005</v>
      </c>
      <c r="D19" s="9">
        <v>562500000</v>
      </c>
      <c r="E19" s="9">
        <v>2025141098.4848483</v>
      </c>
      <c r="F19" s="9">
        <v>1697039301.5151522</v>
      </c>
      <c r="G19" s="9">
        <v>0</v>
      </c>
      <c r="H19" s="9">
        <v>0</v>
      </c>
      <c r="I19" s="9">
        <v>339407860.3030305</v>
      </c>
      <c r="J19" s="9">
        <v>352165512.3287672</v>
      </c>
      <c r="K19" s="9">
        <v>352165512.3287672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0" t="inlineStr">
        <is>
          <t xml:space="preserve">ZERO_RESIDUAL_NO_SALE</t>
        </is>
      </c>
      <c r="U19" s="9">
        <v>3030607027.3682027</v>
      </c>
      <c r="V19" s="9">
        <v>0</v>
      </c>
      <c r="W19" s="9">
        <v>0</v>
      </c>
      <c r="X19" s="9">
        <v>0</v>
      </c>
    </row>
    <row r="20">
      <c r="A20" s="0" t="inlineStr">
        <is>
          <t xml:space="preserve">VG-002</t>
        </is>
      </c>
      <c r="B20" s="23">
        <v>2</v>
      </c>
      <c r="C20" s="9">
        <v>4305889567.9800005</v>
      </c>
      <c r="D20" s="9">
        <v>573750000</v>
      </c>
      <c r="E20" s="9">
        <v>2025141098.4848483</v>
      </c>
      <c r="F20" s="9">
        <v>1706998469.4951522</v>
      </c>
      <c r="G20" s="9">
        <v>0</v>
      </c>
      <c r="H20" s="9">
        <v>0</v>
      </c>
      <c r="I20" s="9">
        <v>341399693.89903045</v>
      </c>
      <c r="J20" s="9">
        <v>353908731.61479455</v>
      </c>
      <c r="K20" s="9">
        <v>1743219.2860273719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0" t="inlineStr">
        <is>
          <t xml:space="preserve">ZERO_RESIDUAL_NO_SALE</t>
        </is>
      </c>
      <c r="U20" s="9">
        <v>3388996654.7949424</v>
      </c>
      <c r="V20" s="9">
        <v>0</v>
      </c>
      <c r="W20" s="9">
        <v>0</v>
      </c>
      <c r="X20" s="9">
        <v>0</v>
      </c>
    </row>
    <row r="21">
      <c r="A21" s="0" t="inlineStr">
        <is>
          <t xml:space="preserve">VG-002</t>
        </is>
      </c>
      <c r="B21" s="23">
        <v>3</v>
      </c>
      <c r="C21" s="9">
        <v>4327203721.341502</v>
      </c>
      <c r="D21" s="9">
        <v>585225000</v>
      </c>
      <c r="E21" s="9">
        <v>2025141098.4848483</v>
      </c>
      <c r="F21" s="9">
        <v>1716837622.856654</v>
      </c>
      <c r="G21" s="9">
        <v>0</v>
      </c>
      <c r="H21" s="9">
        <v>0</v>
      </c>
      <c r="I21" s="9">
        <v>343367524.5713308</v>
      </c>
      <c r="J21" s="9">
        <v>355660579.83628786</v>
      </c>
      <c r="K21" s="9">
        <v>1751848.2214933038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0" t="inlineStr">
        <is>
          <t xml:space="preserve">ZERO_RESIDUAL_NO_SALE</t>
        </is>
      </c>
      <c r="U21" s="9">
        <v>3396859348.548678</v>
      </c>
      <c r="V21" s="9">
        <v>0</v>
      </c>
      <c r="W21" s="9">
        <v>0</v>
      </c>
      <c r="X21" s="9">
        <v>0</v>
      </c>
    </row>
    <row r="22">
      <c r="A22" s="0" t="inlineStr">
        <is>
          <t xml:space="preserve">VG-002</t>
        </is>
      </c>
      <c r="B22" s="23">
        <v>4</v>
      </c>
      <c r="C22" s="9">
        <v>4348623379.762142</v>
      </c>
      <c r="D22" s="9">
        <v>596929500.0000001</v>
      </c>
      <c r="E22" s="9">
        <v>2025141098.4848483</v>
      </c>
      <c r="F22" s="9">
        <v>1726552781.277294</v>
      </c>
      <c r="G22" s="9">
        <v>0</v>
      </c>
      <c r="H22" s="9">
        <v>0</v>
      </c>
      <c r="I22" s="9">
        <v>345310556.25545883</v>
      </c>
      <c r="J22" s="9">
        <v>357421099.7064774</v>
      </c>
      <c r="K22" s="9">
        <v>1760519.8701895475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0" t="inlineStr">
        <is>
          <t xml:space="preserve">ZERO_RESIDUAL_NO_SALE</t>
        </is>
      </c>
      <c r="U22" s="9">
        <v>3404622803.6364937</v>
      </c>
      <c r="V22" s="9">
        <v>0</v>
      </c>
      <c r="W22" s="9">
        <v>0</v>
      </c>
      <c r="X22" s="9">
        <v>0</v>
      </c>
    </row>
    <row r="23">
      <c r="A23" s="0" t="inlineStr">
        <is>
          <t xml:space="preserve">VG-002</t>
        </is>
      </c>
      <c r="B23" s="23">
        <v>5</v>
      </c>
      <c r="C23" s="9">
        <v>4370149065.491964</v>
      </c>
      <c r="D23" s="9">
        <v>608868090</v>
      </c>
      <c r="E23" s="9">
        <v>2025141098.4848483</v>
      </c>
      <c r="F23" s="9">
        <v>1736139877.007116</v>
      </c>
      <c r="G23" s="9">
        <v>0</v>
      </c>
      <c r="H23" s="9">
        <v>0</v>
      </c>
      <c r="I23" s="9">
        <v>347227975.4014232</v>
      </c>
      <c r="J23" s="9">
        <v>359190334.1500245</v>
      </c>
      <c r="K23" s="9">
        <v>1769234.44354707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151885582.38636363</v>
      </c>
      <c r="R23" s="9">
        <v>0</v>
      </c>
      <c r="S23" s="9">
        <v>0</v>
      </c>
      <c r="T23" s="0" t="inlineStr">
        <is>
          <t xml:space="preserve">ZERO_RESIDUAL_NO_SALE</t>
        </is>
      </c>
      <c r="U23" s="9">
        <v>3260398183.26063</v>
      </c>
      <c r="V23" s="9">
        <v>0</v>
      </c>
      <c r="W23" s="9">
        <v>0</v>
      </c>
      <c r="X23" s="9">
        <v>0</v>
      </c>
    </row>
    <row r="24">
      <c r="A24" s="0" t="inlineStr">
        <is>
          <t xml:space="preserve">VG-002</t>
        </is>
      </c>
      <c r="B24" s="23">
        <v>6</v>
      </c>
      <c r="C24" s="9">
        <v>4391781303.36615</v>
      </c>
      <c r="D24" s="9">
        <v>621045451.8</v>
      </c>
      <c r="E24" s="9">
        <v>2025141098.4848483</v>
      </c>
      <c r="F24" s="9">
        <v>1745594753.0813015</v>
      </c>
      <c r="G24" s="9">
        <v>0</v>
      </c>
      <c r="H24" s="9">
        <v>0</v>
      </c>
      <c r="I24" s="9">
        <v>349118950.6162603</v>
      </c>
      <c r="J24" s="9">
        <v>360968326.30406713</v>
      </c>
      <c r="K24" s="9">
        <v>1777992.1540426612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0" t="inlineStr">
        <is>
          <t xml:space="preserve">ZERO_RESIDUAL_NO_SALE</t>
        </is>
      </c>
      <c r="U24" s="9">
        <v>3419838908.7958465</v>
      </c>
      <c r="V24" s="9">
        <v>0</v>
      </c>
      <c r="W24" s="9">
        <v>0</v>
      </c>
      <c r="X24" s="9">
        <v>0</v>
      </c>
    </row>
    <row r="25">
      <c r="A25" s="0" t="inlineStr">
        <is>
          <t xml:space="preserve">VG-002</t>
        </is>
      </c>
      <c r="B25" s="23">
        <v>7</v>
      </c>
      <c r="C25" s="9">
        <v>4413520620.817813</v>
      </c>
      <c r="D25" s="9">
        <v>633466360.8360001</v>
      </c>
      <c r="E25" s="9">
        <v>2025141098.4848483</v>
      </c>
      <c r="F25" s="9">
        <v>1754913161.4969647</v>
      </c>
      <c r="G25" s="9">
        <v>0</v>
      </c>
      <c r="H25" s="9">
        <v>0</v>
      </c>
      <c r="I25" s="9">
        <v>350982632.29939294</v>
      </c>
      <c r="J25" s="9">
        <v>362755119.5192723</v>
      </c>
      <c r="K25" s="9">
        <v>1786793.2152051926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0" t="inlineStr">
        <is>
          <t xml:space="preserve">ZERO_RESIDUAL_NO_SALE</t>
        </is>
      </c>
      <c r="U25" s="9">
        <v>3427284834.4672146</v>
      </c>
      <c r="V25" s="9">
        <v>0</v>
      </c>
      <c r="W25" s="9">
        <v>0</v>
      </c>
      <c r="X25" s="9">
        <v>0</v>
      </c>
    </row>
    <row r="26">
      <c r="A26" s="0" t="inlineStr">
        <is>
          <t xml:space="preserve">VG-002</t>
        </is>
      </c>
      <c r="B26" s="23">
        <v>8</v>
      </c>
      <c r="C26" s="9">
        <v>4435367547.890861</v>
      </c>
      <c r="D26" s="9">
        <v>646135688.0527201</v>
      </c>
      <c r="E26" s="9">
        <v>2025141098.4848483</v>
      </c>
      <c r="F26" s="9">
        <v>1764090761.3532922</v>
      </c>
      <c r="G26" s="9">
        <v>0</v>
      </c>
      <c r="H26" s="9">
        <v>0</v>
      </c>
      <c r="I26" s="9">
        <v>352818152.2706585</v>
      </c>
      <c r="J26" s="9">
        <v>364550757.36089265</v>
      </c>
      <c r="K26" s="9">
        <v>1795637.841620326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0" t="inlineStr">
        <is>
          <t xml:space="preserve">ZERO_RESIDUAL_NO_SALE</t>
        </is>
      </c>
      <c r="U26" s="9">
        <v>3434618069.7258615</v>
      </c>
      <c r="V26" s="9">
        <v>0</v>
      </c>
      <c r="W26" s="9">
        <v>0</v>
      </c>
      <c r="X26" s="9">
        <v>0</v>
      </c>
    </row>
    <row r="27">
      <c r="A27" s="0" t="inlineStr">
        <is>
          <t xml:space="preserve">VG-002</t>
        </is>
      </c>
      <c r="B27" s="23">
        <v>9</v>
      </c>
      <c r="C27" s="9">
        <v>4457322617.25292</v>
      </c>
      <c r="D27" s="9">
        <v>659058401.8137745</v>
      </c>
      <c r="E27" s="9">
        <v>2025141098.4848483</v>
      </c>
      <c r="F27" s="9">
        <v>1773123116.9542973</v>
      </c>
      <c r="G27" s="9">
        <v>0</v>
      </c>
      <c r="H27" s="9">
        <v>0</v>
      </c>
      <c r="I27" s="9">
        <v>354624623.3908595</v>
      </c>
      <c r="J27" s="9">
        <v>366355283.60982907</v>
      </c>
      <c r="K27" s="9">
        <v>1804526.2489364147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0" t="inlineStr">
        <is>
          <t xml:space="preserve">ZERO_RESIDUAL_NO_SALE</t>
        </is>
      </c>
      <c r="U27" s="9">
        <v>3441835065.79935</v>
      </c>
      <c r="V27" s="9">
        <v>0</v>
      </c>
      <c r="W27" s="9">
        <v>0</v>
      </c>
      <c r="X27" s="9">
        <v>0</v>
      </c>
    </row>
    <row r="28">
      <c r="A28" s="0" t="inlineStr">
        <is>
          <t xml:space="preserve">VG-002</t>
        </is>
      </c>
      <c r="B28" s="23">
        <v>10</v>
      </c>
      <c r="C28" s="9">
        <v>4479386364.208322</v>
      </c>
      <c r="D28" s="9">
        <v>672239569.85005</v>
      </c>
      <c r="E28" s="9">
        <v>2025141098.4848483</v>
      </c>
      <c r="F28" s="9">
        <v>1782005695.8734233</v>
      </c>
      <c r="G28" s="9">
        <v>0</v>
      </c>
      <c r="H28" s="9">
        <v>0</v>
      </c>
      <c r="I28" s="9">
        <v>356401139.1746847</v>
      </c>
      <c r="J28" s="9">
        <v>368168742.2636977</v>
      </c>
      <c r="K28" s="9">
        <v>1813458.6538686156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151885582.38636363</v>
      </c>
      <c r="R28" s="9">
        <v>0</v>
      </c>
      <c r="S28" s="9">
        <v>0</v>
      </c>
      <c r="T28" s="0" t="inlineStr">
        <is>
          <t xml:space="preserve">ZERO_RESIDUAL_NO_SALE</t>
        </is>
      </c>
      <c r="U28" s="9">
        <v>3297046614.143355</v>
      </c>
      <c r="V28" s="9">
        <v>0</v>
      </c>
      <c r="W28" s="9">
        <v>0</v>
      </c>
      <c r="X28" s="9">
        <v>0</v>
      </c>
    </row>
    <row r="29">
      <c r="A29" s="0" t="inlineStr">
        <is>
          <t xml:space="preserve">VG-002</t>
        </is>
      </c>
      <c r="B29" s="23">
        <v>11</v>
      </c>
      <c r="C29" s="9">
        <v>4501559326.711153</v>
      </c>
      <c r="D29" s="9">
        <v>685684361.247051</v>
      </c>
      <c r="E29" s="9">
        <v>2025141098.4848483</v>
      </c>
      <c r="F29" s="9">
        <v>1790733866.9792535</v>
      </c>
      <c r="G29" s="9">
        <v>0</v>
      </c>
      <c r="H29" s="9">
        <v>0</v>
      </c>
      <c r="I29" s="9">
        <v>358146773.3958507</v>
      </c>
      <c r="J29" s="9">
        <v>369991177.537903</v>
      </c>
      <c r="K29" s="9">
        <v>1822435.274205327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0" t="inlineStr">
        <is>
          <t xml:space="preserve">ZERO_RESIDUAL_NO_SALE</t>
        </is>
      </c>
      <c r="U29" s="9">
        <v>3455905756.794046</v>
      </c>
      <c r="V29" s="9">
        <v>0</v>
      </c>
      <c r="W29" s="9">
        <v>0</v>
      </c>
      <c r="X29" s="9">
        <v>0</v>
      </c>
    </row>
    <row r="30">
      <c r="A30" s="0" t="inlineStr">
        <is>
          <t xml:space="preserve">VG-002</t>
        </is>
      </c>
      <c r="B30" s="23">
        <v>12</v>
      </c>
      <c r="C30" s="9">
        <v>4523842045.378373</v>
      </c>
      <c r="D30" s="9">
        <v>699398048.471992</v>
      </c>
      <c r="E30" s="9">
        <v>2025141098.4848483</v>
      </c>
      <c r="F30" s="9">
        <v>1799302898.4215329</v>
      </c>
      <c r="G30" s="9">
        <v>0</v>
      </c>
      <c r="H30" s="9">
        <v>0</v>
      </c>
      <c r="I30" s="9">
        <v>359860579.6843066</v>
      </c>
      <c r="J30" s="9">
        <v>371822633.8667156</v>
      </c>
      <c r="K30" s="9">
        <v>1831456.3288125992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0" t="inlineStr">
        <is>
          <t xml:space="preserve">ZERO_RESIDUAL_NO_SALE</t>
        </is>
      </c>
      <c r="U30" s="9">
        <v>3462751960.893262</v>
      </c>
      <c r="V30" s="9">
        <v>0</v>
      </c>
      <c r="W30" s="9">
        <v>0</v>
      </c>
      <c r="X30" s="9">
        <v>0</v>
      </c>
    </row>
    <row r="31">
      <c r="A31" s="0" t="inlineStr">
        <is>
          <t xml:space="preserve">VG-002</t>
        </is>
      </c>
      <c r="B31" s="23">
        <v>13</v>
      </c>
      <c r="C31" s="9">
        <v>4546235063.502996</v>
      </c>
      <c r="D31" s="9">
        <v>713386009.4414319</v>
      </c>
      <c r="E31" s="9">
        <v>2025141098.4848483</v>
      </c>
      <c r="F31" s="9">
        <v>1807707955.5767162</v>
      </c>
      <c r="G31" s="9">
        <v>0</v>
      </c>
      <c r="H31" s="9">
        <v>0</v>
      </c>
      <c r="I31" s="9">
        <v>361541591.1153433</v>
      </c>
      <c r="J31" s="9">
        <v>373663155.9043559</v>
      </c>
      <c r="K31" s="9">
        <v>1840522.0376402736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0" t="inlineStr">
        <is>
          <t xml:space="preserve">ZERO_RESIDUAL_NO_SALE</t>
        </is>
      </c>
      <c r="U31" s="9">
        <v>3469466940.9085813</v>
      </c>
      <c r="V31" s="9">
        <v>0</v>
      </c>
      <c r="W31" s="9">
        <v>0</v>
      </c>
      <c r="X31" s="9">
        <v>0</v>
      </c>
    </row>
    <row r="32">
      <c r="A32" s="0" t="inlineStr">
        <is>
          <t xml:space="preserve">VG-002</t>
        </is>
      </c>
      <c r="B32" s="23">
        <v>14</v>
      </c>
      <c r="C32" s="9">
        <v>4568738927.067336</v>
      </c>
      <c r="D32" s="9">
        <v>727653729.6302606</v>
      </c>
      <c r="E32" s="9">
        <v>2025141098.4848483</v>
      </c>
      <c r="F32" s="9">
        <v>1815944098.9522274</v>
      </c>
      <c r="G32" s="9">
        <v>0</v>
      </c>
      <c r="H32" s="9">
        <v>0</v>
      </c>
      <c r="I32" s="9">
        <v>363188819.7904455</v>
      </c>
      <c r="J32" s="9">
        <v>375512788.5260824</v>
      </c>
      <c r="K32" s="9">
        <v>1849632.621726513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0" t="inlineStr">
        <is>
          <t xml:space="preserve">ZERO_RESIDUAL_NO_SALE</t>
        </is>
      </c>
      <c r="U32" s="9">
        <v>3476046745.024904</v>
      </c>
      <c r="V32" s="9">
        <v>0</v>
      </c>
      <c r="W32" s="9">
        <v>0</v>
      </c>
      <c r="X32" s="9">
        <v>0</v>
      </c>
    </row>
    <row r="33">
      <c r="A33" s="0" t="inlineStr">
        <is>
          <t xml:space="preserve">VG-002</t>
        </is>
      </c>
      <c r="B33" s="23">
        <v>15</v>
      </c>
      <c r="C33" s="9">
        <v>4591354184.756321</v>
      </c>
      <c r="D33" s="9">
        <v>742206804.2228657</v>
      </c>
      <c r="E33" s="9">
        <v>2025141098.4848483</v>
      </c>
      <c r="F33" s="9">
        <v>1824006282.048607</v>
      </c>
      <c r="G33" s="9">
        <v>0</v>
      </c>
      <c r="H33" s="9">
        <v>0</v>
      </c>
      <c r="I33" s="9">
        <v>364801256.40972143</v>
      </c>
      <c r="J33" s="9">
        <v>0</v>
      </c>
      <c r="K33" s="9">
        <v>-375512788.5260824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375512788.5260824</v>
      </c>
      <c r="T33" s="0" t="inlineStr">
        <is>
          <t xml:space="preserve">ZERO_RESIDUAL_NO_SALE</t>
        </is>
      </c>
      <c r="U33" s="9">
        <v>3859858912.6498165</v>
      </c>
      <c r="V33" s="9">
        <v>0</v>
      </c>
      <c r="W33" s="9">
        <v>0</v>
      </c>
      <c r="X33" s="9">
        <v>0</v>
      </c>
    </row>
    <row r="34">
      <c r="A34" s="0" t="inlineStr">
        <is>
          <t xml:space="preserve">VG-003</t>
        </is>
      </c>
      <c r="B34" s="23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24401552083.333332</v>
      </c>
      <c r="M34" s="9">
        <v>22276552083.333332</v>
      </c>
      <c r="N34" s="9">
        <v>2125000000.0000014</v>
      </c>
      <c r="O34" s="9">
        <v>23375000000</v>
      </c>
      <c r="P34" s="9">
        <v>1026552083.3333335</v>
      </c>
      <c r="Q34" s="9">
        <v>0</v>
      </c>
      <c r="R34" s="9">
        <v>0</v>
      </c>
      <c r="S34" s="9">
        <v>0</v>
      </c>
      <c r="T34" s="0" t="inlineStr">
        <is>
          <t xml:space="preserve">ZERO_RESIDUAL_NO_SALE</t>
        </is>
      </c>
      <c r="U34" s="9">
        <v>0</v>
      </c>
      <c r="V34" s="9">
        <v>24401552083.333332</v>
      </c>
      <c r="W34" s="9">
        <v>24401552083.333332</v>
      </c>
      <c r="X34" s="9">
        <v>0</v>
      </c>
    </row>
    <row r="35">
      <c r="A35" s="0" t="inlineStr">
        <is>
          <t xml:space="preserve">VG-003</t>
        </is>
      </c>
      <c r="B35" s="23">
        <v>1</v>
      </c>
      <c r="C35" s="9">
        <v>3073041840</v>
      </c>
      <c r="D35" s="9">
        <v>412500000</v>
      </c>
      <c r="E35" s="9">
        <v>1485103472.222222</v>
      </c>
      <c r="F35" s="9">
        <v>1175438367.777778</v>
      </c>
      <c r="G35" s="9">
        <v>0</v>
      </c>
      <c r="H35" s="9">
        <v>0</v>
      </c>
      <c r="I35" s="9">
        <v>235087673.55555558</v>
      </c>
      <c r="J35" s="9">
        <v>252578781.369863</v>
      </c>
      <c r="K35" s="9">
        <v>252578781.369863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0" t="inlineStr">
        <is>
          <t xml:space="preserve">ZERO_RESIDUAL_NO_SALE</t>
        </is>
      </c>
      <c r="U35" s="9">
        <v>2172875385.0745816</v>
      </c>
      <c r="V35" s="9">
        <v>0</v>
      </c>
      <c r="W35" s="9">
        <v>0</v>
      </c>
      <c r="X35" s="9">
        <v>0</v>
      </c>
    </row>
    <row r="36">
      <c r="A36" s="0" t="inlineStr">
        <is>
          <t xml:space="preserve">VG-003</t>
        </is>
      </c>
      <c r="B36" s="23">
        <v>2</v>
      </c>
      <c r="C36" s="9">
        <v>3088253397.1080003</v>
      </c>
      <c r="D36" s="9">
        <v>420750000</v>
      </c>
      <c r="E36" s="9">
        <v>1485103472.222222</v>
      </c>
      <c r="F36" s="9">
        <v>1182399924.8857782</v>
      </c>
      <c r="G36" s="9">
        <v>0</v>
      </c>
      <c r="H36" s="9">
        <v>0</v>
      </c>
      <c r="I36" s="9">
        <v>236479984.97715566</v>
      </c>
      <c r="J36" s="9">
        <v>253829046.33764386</v>
      </c>
      <c r="K36" s="9">
        <v>1250264.9677808583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0" t="inlineStr">
        <is>
          <t xml:space="preserve">ZERO_RESIDUAL_NO_SALE</t>
        </is>
      </c>
      <c r="U36" s="9">
        <v>2429773147.1630635</v>
      </c>
      <c r="V36" s="9">
        <v>0</v>
      </c>
      <c r="W36" s="9">
        <v>0</v>
      </c>
      <c r="X36" s="9">
        <v>0</v>
      </c>
    </row>
    <row r="37">
      <c r="A37" s="0" t="inlineStr">
        <is>
          <t xml:space="preserve">VG-003</t>
        </is>
      </c>
      <c r="B37" s="23">
        <v>3</v>
      </c>
      <c r="C37" s="9">
        <v>3103540251.423685</v>
      </c>
      <c r="D37" s="9">
        <v>429165000</v>
      </c>
      <c r="E37" s="9">
        <v>1485103472.222222</v>
      </c>
      <c r="F37" s="9">
        <v>1189271779.201463</v>
      </c>
      <c r="G37" s="9">
        <v>0</v>
      </c>
      <c r="H37" s="9">
        <v>0</v>
      </c>
      <c r="I37" s="9">
        <v>237854355.8402926</v>
      </c>
      <c r="J37" s="9">
        <v>255085500.1170152</v>
      </c>
      <c r="K37" s="9">
        <v>1256453.779371351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0" t="inlineStr">
        <is>
          <t xml:space="preserve">ZERO_RESIDUAL_NO_SALE</t>
        </is>
      </c>
      <c r="U37" s="9">
        <v>2435264441.8040214</v>
      </c>
      <c r="V37" s="9">
        <v>0</v>
      </c>
      <c r="W37" s="9">
        <v>0</v>
      </c>
      <c r="X37" s="9">
        <v>0</v>
      </c>
    </row>
    <row r="38">
      <c r="A38" s="0" t="inlineStr">
        <is>
          <t xml:space="preserve">VG-003</t>
        </is>
      </c>
      <c r="B38" s="23">
        <v>4</v>
      </c>
      <c r="C38" s="9">
        <v>3118902775.6682324</v>
      </c>
      <c r="D38" s="9">
        <v>437748300.00000006</v>
      </c>
      <c r="E38" s="9">
        <v>1485103472.222222</v>
      </c>
      <c r="F38" s="9">
        <v>1196051003.4460104</v>
      </c>
      <c r="G38" s="9">
        <v>0</v>
      </c>
      <c r="H38" s="9">
        <v>0</v>
      </c>
      <c r="I38" s="9">
        <v>239210200.68920207</v>
      </c>
      <c r="J38" s="9">
        <v>256348173.34259441</v>
      </c>
      <c r="K38" s="9">
        <v>1262673.2255792022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0" t="inlineStr">
        <is>
          <t xml:space="preserve">ZERO_RESIDUAL_NO_SALE</t>
        </is>
      </c>
      <c r="U38" s="9">
        <v>2440681601.7534513</v>
      </c>
      <c r="V38" s="9">
        <v>0</v>
      </c>
      <c r="W38" s="9">
        <v>0</v>
      </c>
      <c r="X38" s="9">
        <v>0</v>
      </c>
    </row>
    <row r="39">
      <c r="A39" s="0" t="inlineStr">
        <is>
          <t xml:space="preserve">VG-003</t>
        </is>
      </c>
      <c r="B39" s="23">
        <v>5</v>
      </c>
      <c r="C39" s="9">
        <v>3134341344.4077897</v>
      </c>
      <c r="D39" s="9">
        <v>446503266</v>
      </c>
      <c r="E39" s="9">
        <v>1485103472.222222</v>
      </c>
      <c r="F39" s="9">
        <v>1202734606.1855676</v>
      </c>
      <c r="G39" s="9">
        <v>0</v>
      </c>
      <c r="H39" s="9">
        <v>0</v>
      </c>
      <c r="I39" s="9">
        <v>240546921.23711354</v>
      </c>
      <c r="J39" s="9">
        <v>257617096.80064026</v>
      </c>
      <c r="K39" s="9">
        <v>1268923.4580458403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111382760.41666666</v>
      </c>
      <c r="R39" s="9">
        <v>0</v>
      </c>
      <c r="S39" s="9">
        <v>0</v>
      </c>
      <c r="T39" s="0" t="inlineStr">
        <is>
          <t xml:space="preserve">ZERO_RESIDUAL_NO_SALE</t>
        </is>
      </c>
      <c r="U39" s="9">
        <v>2334639473.295964</v>
      </c>
      <c r="V39" s="9">
        <v>0</v>
      </c>
      <c r="W39" s="9">
        <v>0</v>
      </c>
      <c r="X39" s="9">
        <v>0</v>
      </c>
    </row>
    <row r="40">
      <c r="A40" s="0" t="inlineStr">
        <is>
          <t xml:space="preserve">VG-003</t>
        </is>
      </c>
      <c r="B40" s="23">
        <v>6</v>
      </c>
      <c r="C40" s="9">
        <v>3149856334.0626082</v>
      </c>
      <c r="D40" s="9">
        <v>455433331.32</v>
      </c>
      <c r="E40" s="9">
        <v>1485103472.222222</v>
      </c>
      <c r="F40" s="9">
        <v>1209319530.520386</v>
      </c>
      <c r="G40" s="9">
        <v>0</v>
      </c>
      <c r="H40" s="9">
        <v>0</v>
      </c>
      <c r="I40" s="9">
        <v>241863906.10407722</v>
      </c>
      <c r="J40" s="9">
        <v>258892301.42980343</v>
      </c>
      <c r="K40" s="9">
        <v>1275204.6291631758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0" t="inlineStr">
        <is>
          <t xml:space="preserve">ZERO_RESIDUAL_NO_SALE</t>
        </is>
      </c>
      <c r="U40" s="9">
        <v>2451283892.0093675</v>
      </c>
      <c r="V40" s="9">
        <v>0</v>
      </c>
      <c r="W40" s="9">
        <v>0</v>
      </c>
      <c r="X40" s="9">
        <v>0</v>
      </c>
    </row>
    <row r="41">
      <c r="A41" s="0" t="inlineStr">
        <is>
          <t xml:space="preserve">VG-003</t>
        </is>
      </c>
      <c r="B41" s="23">
        <v>7</v>
      </c>
      <c r="C41" s="9">
        <v>3165448122.9162188</v>
      </c>
      <c r="D41" s="9">
        <v>464541997.94640005</v>
      </c>
      <c r="E41" s="9">
        <v>1485103472.222222</v>
      </c>
      <c r="F41" s="9">
        <v>1215802652.7475965</v>
      </c>
      <c r="G41" s="9">
        <v>0</v>
      </c>
      <c r="H41" s="9">
        <v>0</v>
      </c>
      <c r="I41" s="9">
        <v>243160530.5495193</v>
      </c>
      <c r="J41" s="9">
        <v>260173818.32188097</v>
      </c>
      <c r="K41" s="9">
        <v>1281516.8920775354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0" t="inlineStr">
        <is>
          <t xml:space="preserve">ZERO_RESIDUAL_NO_SALE</t>
        </is>
      </c>
      <c r="U41" s="9">
        <v>2456464077.528222</v>
      </c>
      <c r="V41" s="9">
        <v>0</v>
      </c>
      <c r="W41" s="9">
        <v>0</v>
      </c>
      <c r="X41" s="9">
        <v>0</v>
      </c>
    </row>
    <row r="42">
      <c r="A42" s="0" t="inlineStr">
        <is>
          <t xml:space="preserve">VG-003</t>
        </is>
      </c>
      <c r="B42" s="23">
        <v>8</v>
      </c>
      <c r="C42" s="9">
        <v>3181117091.1246533</v>
      </c>
      <c r="D42" s="9">
        <v>473832837.90532804</v>
      </c>
      <c r="E42" s="9">
        <v>1485103472.222222</v>
      </c>
      <c r="F42" s="9">
        <v>1222180780.997103</v>
      </c>
      <c r="G42" s="9">
        <v>0</v>
      </c>
      <c r="H42" s="9">
        <v>0</v>
      </c>
      <c r="I42" s="9">
        <v>244436156.1994206</v>
      </c>
      <c r="J42" s="9">
        <v>261461678.72257423</v>
      </c>
      <c r="K42" s="9">
        <v>1287860.4006932676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0" t="inlineStr">
        <is>
          <t xml:space="preserve">ZERO_RESIDUAL_NO_SALE</t>
        </is>
      </c>
      <c r="U42" s="9">
        <v>2461560236.619211</v>
      </c>
      <c r="V42" s="9">
        <v>0</v>
      </c>
      <c r="W42" s="9">
        <v>0</v>
      </c>
      <c r="X42" s="9">
        <v>0</v>
      </c>
    </row>
    <row r="43">
      <c r="A43" s="0" t="inlineStr">
        <is>
          <t xml:space="preserve">VG-003</t>
        </is>
      </c>
      <c r="B43" s="23">
        <v>9</v>
      </c>
      <c r="C43" s="9">
        <v>3196863620.725721</v>
      </c>
      <c r="D43" s="9">
        <v>483309494.6634346</v>
      </c>
      <c r="E43" s="9">
        <v>1485103472.222222</v>
      </c>
      <c r="F43" s="9">
        <v>1228450653.8400643</v>
      </c>
      <c r="G43" s="9">
        <v>0</v>
      </c>
      <c r="H43" s="9">
        <v>0</v>
      </c>
      <c r="I43" s="9">
        <v>245690130.76801288</v>
      </c>
      <c r="J43" s="9">
        <v>262755914.03225103</v>
      </c>
      <c r="K43" s="9">
        <v>1294235.3096767962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0" t="inlineStr">
        <is>
          <t xml:space="preserve">ZERO_RESIDUAL_NO_SALE</t>
        </is>
      </c>
      <c r="U43" s="9">
        <v>2466569759.9845967</v>
      </c>
      <c r="V43" s="9">
        <v>0</v>
      </c>
      <c r="W43" s="9">
        <v>0</v>
      </c>
      <c r="X43" s="9">
        <v>0</v>
      </c>
    </row>
    <row r="44">
      <c r="A44" s="0" t="inlineStr">
        <is>
          <t xml:space="preserve">VG-003</t>
        </is>
      </c>
      <c r="B44" s="23">
        <v>10</v>
      </c>
      <c r="C44" s="9">
        <v>3212688095.648312</v>
      </c>
      <c r="D44" s="9">
        <v>492975684.5567033</v>
      </c>
      <c r="E44" s="9">
        <v>1485103472.222222</v>
      </c>
      <c r="F44" s="9">
        <v>1234608938.869387</v>
      </c>
      <c r="G44" s="9">
        <v>0</v>
      </c>
      <c r="H44" s="9">
        <v>0</v>
      </c>
      <c r="I44" s="9">
        <v>246921787.77387738</v>
      </c>
      <c r="J44" s="9">
        <v>264056555.80671057</v>
      </c>
      <c r="K44" s="9">
        <v>1300641.7744595408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111382760.41666666</v>
      </c>
      <c r="R44" s="9">
        <v>0</v>
      </c>
      <c r="S44" s="9">
        <v>0</v>
      </c>
      <c r="T44" s="0" t="inlineStr">
        <is>
          <t xml:space="preserve">ZERO_RESIDUAL_NO_SALE</t>
        </is>
      </c>
      <c r="U44" s="9">
        <v>2360107221.126606</v>
      </c>
      <c r="V44" s="9">
        <v>0</v>
      </c>
      <c r="W44" s="9">
        <v>0</v>
      </c>
      <c r="X44" s="9">
        <v>0</v>
      </c>
    </row>
    <row r="45">
      <c r="A45" s="0" t="inlineStr">
        <is>
          <t xml:space="preserve">VG-003</t>
        </is>
      </c>
      <c r="B45" s="23">
        <v>11</v>
      </c>
      <c r="C45" s="9">
        <v>3228590901.7217717</v>
      </c>
      <c r="D45" s="9">
        <v>502835198.2478374</v>
      </c>
      <c r="E45" s="9">
        <v>1485103472.222222</v>
      </c>
      <c r="F45" s="9">
        <v>1240652231.251712</v>
      </c>
      <c r="G45" s="9">
        <v>0</v>
      </c>
      <c r="H45" s="9">
        <v>0</v>
      </c>
      <c r="I45" s="9">
        <v>248130446.25034243</v>
      </c>
      <c r="J45" s="9">
        <v>265363635.75795385</v>
      </c>
      <c r="K45" s="9">
        <v>1307079.9512432814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0" t="inlineStr">
        <is>
          <t xml:space="preserve">ZERO_RESIDUAL_NO_SALE</t>
        </is>
      </c>
      <c r="U45" s="9">
        <v>2476318177.2723484</v>
      </c>
      <c r="V45" s="9">
        <v>0</v>
      </c>
      <c r="W45" s="9">
        <v>0</v>
      </c>
      <c r="X45" s="9">
        <v>0</v>
      </c>
    </row>
    <row r="46">
      <c r="A46" s="0" t="inlineStr">
        <is>
          <t xml:space="preserve">VG-003</t>
        </is>
      </c>
      <c r="B46" s="23">
        <v>12</v>
      </c>
      <c r="C46" s="9">
        <v>3244572426.685294</v>
      </c>
      <c r="D46" s="9">
        <v>512891902.2127941</v>
      </c>
      <c r="E46" s="9">
        <v>1485103472.222222</v>
      </c>
      <c r="F46" s="9">
        <v>1246577052.2502778</v>
      </c>
      <c r="G46" s="9">
        <v>0</v>
      </c>
      <c r="H46" s="9">
        <v>0</v>
      </c>
      <c r="I46" s="9">
        <v>249315410.45005557</v>
      </c>
      <c r="J46" s="9">
        <v>266677185.75495568</v>
      </c>
      <c r="K46" s="9">
        <v>1313549.9970018268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0" t="inlineStr">
        <is>
          <t xml:space="preserve">ZERO_RESIDUAL_NO_SALE</t>
        </is>
      </c>
      <c r="U46" s="9">
        <v>2481051564.0254426</v>
      </c>
      <c r="V46" s="9">
        <v>0</v>
      </c>
      <c r="W46" s="9">
        <v>0</v>
      </c>
      <c r="X46" s="9">
        <v>0</v>
      </c>
    </row>
    <row r="47">
      <c r="A47" s="0" t="inlineStr">
        <is>
          <t xml:space="preserve">VG-003</t>
        </is>
      </c>
      <c r="B47" s="23">
        <v>13</v>
      </c>
      <c r="C47" s="9">
        <v>3260633060.1973863</v>
      </c>
      <c r="D47" s="9">
        <v>523149740.25705004</v>
      </c>
      <c r="E47" s="9">
        <v>1485103472.222222</v>
      </c>
      <c r="F47" s="9">
        <v>1252379847.7181141</v>
      </c>
      <c r="G47" s="9">
        <v>0</v>
      </c>
      <c r="H47" s="9">
        <v>0</v>
      </c>
      <c r="I47" s="9">
        <v>250475969.54362285</v>
      </c>
      <c r="J47" s="9">
        <v>267997237.82444268</v>
      </c>
      <c r="K47" s="9">
        <v>1320052.0694870055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0" t="inlineStr">
        <is>
          <t xml:space="preserve">ZERO_RESIDUAL_NO_SALE</t>
        </is>
      </c>
      <c r="U47" s="9">
        <v>2485687298.327226</v>
      </c>
      <c r="V47" s="9">
        <v>0</v>
      </c>
      <c r="W47" s="9">
        <v>0</v>
      </c>
      <c r="X47" s="9">
        <v>0</v>
      </c>
    </row>
    <row r="48">
      <c r="A48" s="0" t="inlineStr">
        <is>
          <t xml:space="preserve">VG-003</t>
        </is>
      </c>
      <c r="B48" s="23">
        <v>14</v>
      </c>
      <c r="C48" s="9">
        <v>3276773193.845364</v>
      </c>
      <c r="D48" s="9">
        <v>533612735.06219107</v>
      </c>
      <c r="E48" s="9">
        <v>1485103472.222222</v>
      </c>
      <c r="F48" s="9">
        <v>1258056986.560951</v>
      </c>
      <c r="G48" s="9">
        <v>0</v>
      </c>
      <c r="H48" s="9">
        <v>0</v>
      </c>
      <c r="I48" s="9">
        <v>251611397.3121902</v>
      </c>
      <c r="J48" s="9">
        <v>269323824.15167373</v>
      </c>
      <c r="K48" s="9">
        <v>1326586.3272310495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0" t="inlineStr">
        <is>
          <t xml:space="preserve">ZERO_RESIDUAL_NO_SALE</t>
        </is>
      </c>
      <c r="U48" s="9">
        <v>2490222475.143752</v>
      </c>
      <c r="V48" s="9">
        <v>0</v>
      </c>
      <c r="W48" s="9">
        <v>0</v>
      </c>
      <c r="X48" s="9">
        <v>0</v>
      </c>
    </row>
    <row r="49">
      <c r="A49" s="0" t="inlineStr">
        <is>
          <t xml:space="preserve">VG-003</t>
        </is>
      </c>
      <c r="B49" s="23">
        <v>15</v>
      </c>
      <c r="C49" s="9">
        <v>3292993221.1548996</v>
      </c>
      <c r="D49" s="9">
        <v>544284989.7634349</v>
      </c>
      <c r="E49" s="9">
        <v>1485103472.222222</v>
      </c>
      <c r="F49" s="9">
        <v>1263604759.1692426</v>
      </c>
      <c r="G49" s="9">
        <v>0</v>
      </c>
      <c r="H49" s="9">
        <v>0</v>
      </c>
      <c r="I49" s="9">
        <v>252720951.83384854</v>
      </c>
      <c r="J49" s="9">
        <v>0</v>
      </c>
      <c r="K49" s="9">
        <v>-269323824.15167373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269323824.15167373</v>
      </c>
      <c r="T49" s="0" t="inlineStr">
        <is>
          <t xml:space="preserve">ZERO_RESIDUAL_NO_SALE</t>
        </is>
      </c>
      <c r="U49" s="9">
        <v>2765311103.70929</v>
      </c>
      <c r="V49" s="9">
        <v>0</v>
      </c>
      <c r="W49" s="9">
        <v>0</v>
      </c>
      <c r="X49" s="9">
        <v>0</v>
      </c>
    </row>
    <row r="50">
      <c r="A50" s="0" t="inlineStr">
        <is>
          <t xml:space="preserve">VG-004</t>
        </is>
      </c>
      <c r="B50" s="23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32165682291.666668</v>
      </c>
      <c r="M50" s="9">
        <v>29364545928.030304</v>
      </c>
      <c r="N50" s="9">
        <v>2801136363.636365</v>
      </c>
      <c r="O50" s="9">
        <v>30812500000</v>
      </c>
      <c r="P50" s="9">
        <v>1353182291.6666667</v>
      </c>
      <c r="Q50" s="9">
        <v>0</v>
      </c>
      <c r="R50" s="9">
        <v>0</v>
      </c>
      <c r="S50" s="9">
        <v>0</v>
      </c>
      <c r="T50" s="0" t="inlineStr">
        <is>
          <t xml:space="preserve">ZERO_RESIDUAL_NO_SALE</t>
        </is>
      </c>
      <c r="U50" s="9">
        <v>0</v>
      </c>
      <c r="V50" s="9">
        <v>32165682291.666668</v>
      </c>
      <c r="W50" s="9">
        <v>32165682291.666668</v>
      </c>
      <c r="X50" s="9">
        <v>0</v>
      </c>
    </row>
    <row r="51">
      <c r="A51" s="0" t="inlineStr">
        <is>
          <t xml:space="preserve">VG-004</t>
        </is>
      </c>
      <c r="B51" s="23">
        <v>1</v>
      </c>
      <c r="C51" s="9">
        <v>4196253600</v>
      </c>
      <c r="D51" s="9">
        <v>543750000</v>
      </c>
      <c r="E51" s="9">
        <v>1957636395.2020202</v>
      </c>
      <c r="F51" s="9">
        <v>1694867204.7979798</v>
      </c>
      <c r="G51" s="9">
        <v>0</v>
      </c>
      <c r="H51" s="9">
        <v>0</v>
      </c>
      <c r="I51" s="9">
        <v>338973440.959596</v>
      </c>
      <c r="J51" s="9">
        <v>344897556.1643836</v>
      </c>
      <c r="K51" s="9">
        <v>344897556.1643836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0" t="inlineStr">
        <is>
          <t xml:space="preserve">ZERO_RESIDUAL_NO_SALE</t>
        </is>
      </c>
      <c r="U51" s="9">
        <v>2968632602.8760204</v>
      </c>
      <c r="V51" s="9">
        <v>0</v>
      </c>
      <c r="W51" s="9">
        <v>0</v>
      </c>
      <c r="X51" s="9">
        <v>0</v>
      </c>
    </row>
    <row r="52">
      <c r="A52" s="0" t="inlineStr">
        <is>
          <t xml:space="preserve">VG-004</t>
        </is>
      </c>
      <c r="B52" s="23">
        <v>2</v>
      </c>
      <c r="C52" s="9">
        <v>4217025055.32</v>
      </c>
      <c r="D52" s="9">
        <v>554625000</v>
      </c>
      <c r="E52" s="9">
        <v>1957636395.2020202</v>
      </c>
      <c r="F52" s="9">
        <v>1704763660.11798</v>
      </c>
      <c r="G52" s="9">
        <v>0</v>
      </c>
      <c r="H52" s="9">
        <v>0</v>
      </c>
      <c r="I52" s="9">
        <v>340952732.02359605</v>
      </c>
      <c r="J52" s="9">
        <v>346604799.0673973</v>
      </c>
      <c r="K52" s="9">
        <v>1707242.9030137062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0" t="inlineStr">
        <is>
          <t xml:space="preserve">ZERO_RESIDUAL_NO_SALE</t>
        </is>
      </c>
      <c r="U52" s="9">
        <v>3319740080.39339</v>
      </c>
      <c r="V52" s="9">
        <v>0</v>
      </c>
      <c r="W52" s="9">
        <v>0</v>
      </c>
      <c r="X52" s="9">
        <v>0</v>
      </c>
    </row>
    <row r="53">
      <c r="A53" s="0" t="inlineStr">
        <is>
          <t xml:space="preserve">VG-004</t>
        </is>
      </c>
      <c r="B53" s="23">
        <v>3</v>
      </c>
      <c r="C53" s="9">
        <v>4237899329.3438344</v>
      </c>
      <c r="D53" s="9">
        <v>565717500</v>
      </c>
      <c r="E53" s="9">
        <v>1957636395.2020202</v>
      </c>
      <c r="F53" s="9">
        <v>1714545434.1418142</v>
      </c>
      <c r="G53" s="9">
        <v>0</v>
      </c>
      <c r="H53" s="9">
        <v>0</v>
      </c>
      <c r="I53" s="9">
        <v>342909086.8283629</v>
      </c>
      <c r="J53" s="9">
        <v>348320492.8227809</v>
      </c>
      <c r="K53" s="9">
        <v>1715693.7553836107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0" t="inlineStr">
        <is>
          <t xml:space="preserve">ZERO_RESIDUAL_NO_SALE</t>
        </is>
      </c>
      <c r="U53" s="9">
        <v>3327557048.760088</v>
      </c>
      <c r="V53" s="9">
        <v>0</v>
      </c>
      <c r="W53" s="9">
        <v>0</v>
      </c>
      <c r="X53" s="9">
        <v>0</v>
      </c>
    </row>
    <row r="54">
      <c r="A54" s="0" t="inlineStr">
        <is>
          <t xml:space="preserve">VG-004</t>
        </is>
      </c>
      <c r="B54" s="23">
        <v>4</v>
      </c>
      <c r="C54" s="9">
        <v>4258876931.0240865</v>
      </c>
      <c r="D54" s="9">
        <v>577031850.0000001</v>
      </c>
      <c r="E54" s="9">
        <v>1957636395.2020202</v>
      </c>
      <c r="F54" s="9">
        <v>1724208685.8220663</v>
      </c>
      <c r="G54" s="9">
        <v>0</v>
      </c>
      <c r="H54" s="9">
        <v>0</v>
      </c>
      <c r="I54" s="9">
        <v>344841737.1644133</v>
      </c>
      <c r="J54" s="9">
        <v>350044679.2622537</v>
      </c>
      <c r="K54" s="9">
        <v>1724186.4394727945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0" t="inlineStr">
        <is>
          <t xml:space="preserve">ZERO_RESIDUAL_NO_SALE</t>
        </is>
      </c>
      <c r="U54" s="9">
        <v>3335279157.4202003</v>
      </c>
      <c r="V54" s="9">
        <v>0</v>
      </c>
      <c r="W54" s="9">
        <v>0</v>
      </c>
      <c r="X54" s="9">
        <v>0</v>
      </c>
    </row>
    <row r="55">
      <c r="A55" s="0" t="inlineStr">
        <is>
          <t xml:space="preserve">VG-004</t>
        </is>
      </c>
      <c r="B55" s="23">
        <v>5</v>
      </c>
      <c r="C55" s="9">
        <v>4279958371.8326554</v>
      </c>
      <c r="D55" s="9">
        <v>588572487</v>
      </c>
      <c r="E55" s="9">
        <v>1957636395.2020202</v>
      </c>
      <c r="F55" s="9">
        <v>1733749489.6306353</v>
      </c>
      <c r="G55" s="9">
        <v>0</v>
      </c>
      <c r="H55" s="9">
        <v>0</v>
      </c>
      <c r="I55" s="9">
        <v>346749897.9261271</v>
      </c>
      <c r="J55" s="9">
        <v>351777400.4246018</v>
      </c>
      <c r="K55" s="9">
        <v>1732721.1623480916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146822729.64015153</v>
      </c>
      <c r="R55" s="9">
        <v>0</v>
      </c>
      <c r="S55" s="9">
        <v>0</v>
      </c>
      <c r="T55" s="0" t="inlineStr">
        <is>
          <t xml:space="preserve">ZERO_RESIDUAL_NO_SALE</t>
        </is>
      </c>
      <c r="U55" s="9">
        <v>3196080536.1040287</v>
      </c>
      <c r="V55" s="9">
        <v>0</v>
      </c>
      <c r="W55" s="9">
        <v>0</v>
      </c>
      <c r="X55" s="9">
        <v>0</v>
      </c>
    </row>
    <row r="56">
      <c r="A56" s="0" t="inlineStr">
        <is>
          <t xml:space="preserve">VG-004</t>
        </is>
      </c>
      <c r="B56" s="23">
        <v>6</v>
      </c>
      <c r="C56" s="9">
        <v>4301144165.773228</v>
      </c>
      <c r="D56" s="9">
        <v>600343936.74</v>
      </c>
      <c r="E56" s="9">
        <v>1957636395.2020202</v>
      </c>
      <c r="F56" s="9">
        <v>1743163833.8312078</v>
      </c>
      <c r="G56" s="9">
        <v>0</v>
      </c>
      <c r="H56" s="9">
        <v>0</v>
      </c>
      <c r="I56" s="9">
        <v>348632766.76624155</v>
      </c>
      <c r="J56" s="9">
        <v>353518698.5567037</v>
      </c>
      <c r="K56" s="9">
        <v>1741298.1321018934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0" t="inlineStr">
        <is>
          <t xml:space="preserve">ZERO_RESIDUAL_NO_SALE</t>
        </is>
      </c>
      <c r="U56" s="9">
        <v>3350426164.1348844</v>
      </c>
      <c r="V56" s="9">
        <v>0</v>
      </c>
      <c r="W56" s="9">
        <v>0</v>
      </c>
      <c r="X56" s="9">
        <v>0</v>
      </c>
    </row>
    <row r="57">
      <c r="A57" s="0" t="inlineStr">
        <is>
          <t xml:space="preserve">VG-004</t>
        </is>
      </c>
      <c r="B57" s="23">
        <v>7</v>
      </c>
      <c r="C57" s="9">
        <v>4322434829.393805</v>
      </c>
      <c r="D57" s="9">
        <v>612350815.4748</v>
      </c>
      <c r="E57" s="9">
        <v>1957636395.2020202</v>
      </c>
      <c r="F57" s="9">
        <v>1752447618.7169843</v>
      </c>
      <c r="G57" s="9">
        <v>0</v>
      </c>
      <c r="H57" s="9">
        <v>0</v>
      </c>
      <c r="I57" s="9">
        <v>350489523.7433969</v>
      </c>
      <c r="J57" s="9">
        <v>355268616.1145593</v>
      </c>
      <c r="K57" s="9">
        <v>1749917.557855606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0" t="inlineStr">
        <is>
          <t xml:space="preserve">ZERO_RESIDUAL_NO_SALE</t>
        </is>
      </c>
      <c r="U57" s="9">
        <v>3357844572.617752</v>
      </c>
      <c r="V57" s="9">
        <v>0</v>
      </c>
      <c r="W57" s="9">
        <v>0</v>
      </c>
      <c r="X57" s="9">
        <v>0</v>
      </c>
    </row>
    <row r="58">
      <c r="A58" s="0" t="inlineStr">
        <is>
          <t xml:space="preserve">VG-004</t>
        </is>
      </c>
      <c r="B58" s="23">
        <v>8</v>
      </c>
      <c r="C58" s="9">
        <v>4343830881.799304</v>
      </c>
      <c r="D58" s="9">
        <v>624597831.784296</v>
      </c>
      <c r="E58" s="9">
        <v>1957636395.2020202</v>
      </c>
      <c r="F58" s="9">
        <v>1761596654.8129878</v>
      </c>
      <c r="G58" s="9">
        <v>0</v>
      </c>
      <c r="H58" s="9">
        <v>0</v>
      </c>
      <c r="I58" s="9">
        <v>352319330.9625976</v>
      </c>
      <c r="J58" s="9">
        <v>357027195.7643264</v>
      </c>
      <c r="K58" s="9">
        <v>1758579.6497671008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0" t="inlineStr">
        <is>
          <t xml:space="preserve">ZERO_RESIDUAL_NO_SALE</t>
        </is>
      </c>
      <c r="U58" s="9">
        <v>3365155139.402643</v>
      </c>
      <c r="V58" s="9">
        <v>0</v>
      </c>
      <c r="W58" s="9">
        <v>0</v>
      </c>
      <c r="X58" s="9">
        <v>0</v>
      </c>
    </row>
    <row r="59">
      <c r="A59" s="0" t="inlineStr">
        <is>
          <t xml:space="preserve">VG-004</t>
        </is>
      </c>
      <c r="B59" s="23">
        <v>9</v>
      </c>
      <c r="C59" s="9">
        <v>4365332844.66421</v>
      </c>
      <c r="D59" s="9">
        <v>637089788.419982</v>
      </c>
      <c r="E59" s="9">
        <v>1957636395.2020202</v>
      </c>
      <c r="F59" s="9">
        <v>1770606661.0422082</v>
      </c>
      <c r="G59" s="9">
        <v>0</v>
      </c>
      <c r="H59" s="9">
        <v>0</v>
      </c>
      <c r="I59" s="9">
        <v>354121332.2084417</v>
      </c>
      <c r="J59" s="9">
        <v>358794480.3833598</v>
      </c>
      <c r="K59" s="9">
        <v>1767284.6190333962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0" t="inlineStr">
        <is>
          <t xml:space="preserve">ZERO_RESIDUAL_NO_SALE</t>
        </is>
      </c>
      <c r="U59" s="9">
        <v>3372354439.4167533</v>
      </c>
      <c r="V59" s="9">
        <v>0</v>
      </c>
      <c r="W59" s="9">
        <v>0</v>
      </c>
      <c r="X59" s="9">
        <v>0</v>
      </c>
    </row>
    <row r="60">
      <c r="A60" s="0" t="inlineStr">
        <is>
          <t xml:space="preserve">VG-004</t>
        </is>
      </c>
      <c r="B60" s="23">
        <v>10</v>
      </c>
      <c r="C60" s="9">
        <v>4386941242.245297</v>
      </c>
      <c r="D60" s="9">
        <v>649831584.1883817</v>
      </c>
      <c r="E60" s="9">
        <v>1957636395.2020202</v>
      </c>
      <c r="F60" s="9">
        <v>1779473262.8548956</v>
      </c>
      <c r="G60" s="9">
        <v>0</v>
      </c>
      <c r="H60" s="9">
        <v>0</v>
      </c>
      <c r="I60" s="9">
        <v>355894652.5709791</v>
      </c>
      <c r="J60" s="9">
        <v>360570513.0612573</v>
      </c>
      <c r="K60" s="9">
        <v>1776032.677897513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146822729.64015153</v>
      </c>
      <c r="R60" s="9">
        <v>0</v>
      </c>
      <c r="S60" s="9">
        <v>0</v>
      </c>
      <c r="T60" s="0" t="inlineStr">
        <is>
          <t xml:space="preserve">ZERO_RESIDUAL_NO_SALE</t>
        </is>
      </c>
      <c r="U60" s="9">
        <v>3232616243.1678877</v>
      </c>
      <c r="V60" s="9">
        <v>0</v>
      </c>
      <c r="W60" s="9">
        <v>0</v>
      </c>
      <c r="X60" s="9">
        <v>0</v>
      </c>
    </row>
    <row r="61">
      <c r="A61" s="0" t="inlineStr">
        <is>
          <t xml:space="preserve">VG-004</t>
        </is>
      </c>
      <c r="B61" s="23">
        <v>11</v>
      </c>
      <c r="C61" s="9">
        <v>4408656601.394412</v>
      </c>
      <c r="D61" s="9">
        <v>662828215.8721493</v>
      </c>
      <c r="E61" s="9">
        <v>1957636395.2020202</v>
      </c>
      <c r="F61" s="9">
        <v>1788191990.3202424</v>
      </c>
      <c r="G61" s="9">
        <v>0</v>
      </c>
      <c r="H61" s="9">
        <v>0</v>
      </c>
      <c r="I61" s="9">
        <v>357638398.0640485</v>
      </c>
      <c r="J61" s="9">
        <v>362355337.1009106</v>
      </c>
      <c r="K61" s="9">
        <v>1784824.0396533012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0" t="inlineStr">
        <is>
          <t xml:space="preserve">ZERO_RESIDUAL_NO_SALE</t>
        </is>
      </c>
      <c r="U61" s="9">
        <v>3386405163.4185605</v>
      </c>
      <c r="V61" s="9">
        <v>0</v>
      </c>
      <c r="W61" s="9">
        <v>0</v>
      </c>
      <c r="X61" s="9">
        <v>0</v>
      </c>
    </row>
    <row r="62">
      <c r="A62" s="0" t="inlineStr">
        <is>
          <t xml:space="preserve">VG-004</t>
        </is>
      </c>
      <c r="B62" s="23">
        <v>12</v>
      </c>
      <c r="C62" s="9">
        <v>4430479451.571314</v>
      </c>
      <c r="D62" s="9">
        <v>676084780.1895922</v>
      </c>
      <c r="E62" s="9">
        <v>1957636395.2020202</v>
      </c>
      <c r="F62" s="9">
        <v>1796758276.1797013</v>
      </c>
      <c r="G62" s="9">
        <v>0</v>
      </c>
      <c r="H62" s="9">
        <v>0</v>
      </c>
      <c r="I62" s="9">
        <v>359351655.2359403</v>
      </c>
      <c r="J62" s="9">
        <v>364148996.01956004</v>
      </c>
      <c r="K62" s="9">
        <v>1793658.918649435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0" t="inlineStr">
        <is>
          <t xml:space="preserve">ZERO_RESIDUAL_NO_SALE</t>
        </is>
      </c>
      <c r="U62" s="9">
        <v>3393249357.227132</v>
      </c>
      <c r="V62" s="9">
        <v>0</v>
      </c>
      <c r="W62" s="9">
        <v>0</v>
      </c>
      <c r="X62" s="9">
        <v>0</v>
      </c>
    </row>
    <row r="63">
      <c r="A63" s="0" t="inlineStr">
        <is>
          <t xml:space="preserve">VG-004</t>
        </is>
      </c>
      <c r="B63" s="23">
        <v>13</v>
      </c>
      <c r="C63" s="9">
        <v>4452410324.856593</v>
      </c>
      <c r="D63" s="9">
        <v>689606475.7933841</v>
      </c>
      <c r="E63" s="9">
        <v>1957636395.2020202</v>
      </c>
      <c r="F63" s="9">
        <v>1805167453.861189</v>
      </c>
      <c r="G63" s="9">
        <v>0</v>
      </c>
      <c r="H63" s="9">
        <v>0</v>
      </c>
      <c r="I63" s="9">
        <v>361033490.7722378</v>
      </c>
      <c r="J63" s="9">
        <v>365951533.54985696</v>
      </c>
      <c r="K63" s="9">
        <v>1802537.5302969217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0" t="inlineStr">
        <is>
          <t xml:space="preserve">ZERO_RESIDUAL_NO_SALE</t>
        </is>
      </c>
      <c r="U63" s="9">
        <v>3399967820.7606745</v>
      </c>
      <c r="V63" s="9">
        <v>0</v>
      </c>
      <c r="W63" s="9">
        <v>0</v>
      </c>
      <c r="X63" s="9">
        <v>0</v>
      </c>
    </row>
    <row r="64">
      <c r="A64" s="0" t="inlineStr">
        <is>
          <t xml:space="preserve">VG-004</t>
        </is>
      </c>
      <c r="B64" s="23">
        <v>14</v>
      </c>
      <c r="C64" s="9">
        <v>4474449755.964633</v>
      </c>
      <c r="D64" s="9">
        <v>703398605.3092519</v>
      </c>
      <c r="E64" s="9">
        <v>1957636395.2020202</v>
      </c>
      <c r="F64" s="9">
        <v>1813414755.453361</v>
      </c>
      <c r="G64" s="9">
        <v>0</v>
      </c>
      <c r="H64" s="9">
        <v>0</v>
      </c>
      <c r="I64" s="9">
        <v>362682951.09067225</v>
      </c>
      <c r="J64" s="9">
        <v>367762993.64092875</v>
      </c>
      <c r="K64" s="9">
        <v>1811460.0910717845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0" t="inlineStr">
        <is>
          <t xml:space="preserve">ZERO_RESIDUAL_NO_SALE</t>
        </is>
      </c>
      <c r="U64" s="9">
        <v>3406556739.473637</v>
      </c>
      <c r="V64" s="9">
        <v>0</v>
      </c>
      <c r="W64" s="9">
        <v>0</v>
      </c>
      <c r="X64" s="9">
        <v>0</v>
      </c>
    </row>
    <row r="65">
      <c r="A65" s="0" t="inlineStr">
        <is>
          <t xml:space="preserve">VG-004</t>
        </is>
      </c>
      <c r="B65" s="23">
        <v>15</v>
      </c>
      <c r="C65" s="9">
        <v>4496598282.256659</v>
      </c>
      <c r="D65" s="9">
        <v>717466577.4154369</v>
      </c>
      <c r="E65" s="9">
        <v>1957636395.2020202</v>
      </c>
      <c r="F65" s="9">
        <v>1821495309.6392016</v>
      </c>
      <c r="G65" s="9">
        <v>0</v>
      </c>
      <c r="H65" s="9">
        <v>0</v>
      </c>
      <c r="I65" s="9">
        <v>364299061.92784035</v>
      </c>
      <c r="J65" s="9">
        <v>0</v>
      </c>
      <c r="K65" s="9">
        <v>-367762993.64092875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367762993.64092875</v>
      </c>
      <c r="T65" s="0" t="inlineStr">
        <is>
          <t xml:space="preserve">ZERO_RESIDUAL_NO_SALE</t>
        </is>
      </c>
      <c r="U65" s="9">
        <v>3782595636.5543103</v>
      </c>
      <c r="V65" s="9">
        <v>0</v>
      </c>
      <c r="W65" s="9">
        <v>0</v>
      </c>
      <c r="X65" s="9">
        <v>0</v>
      </c>
    </row>
    <row r="66">
      <c r="A66" s="0" t="inlineStr">
        <is>
          <t xml:space="preserve">VG-005</t>
        </is>
      </c>
      <c r="B66" s="23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26619875000</v>
      </c>
      <c r="M66" s="9">
        <v>24301693181.81818</v>
      </c>
      <c r="N66" s="9">
        <v>2318181818.181821</v>
      </c>
      <c r="O66" s="9">
        <v>25500000000</v>
      </c>
      <c r="P66" s="9">
        <v>1119875000</v>
      </c>
      <c r="Q66" s="9">
        <v>0</v>
      </c>
      <c r="R66" s="9">
        <v>0</v>
      </c>
      <c r="S66" s="9">
        <v>0</v>
      </c>
      <c r="T66" s="0" t="inlineStr">
        <is>
          <t xml:space="preserve">ZERO_RESIDUAL_NO_SALE</t>
        </is>
      </c>
      <c r="U66" s="9">
        <v>0</v>
      </c>
      <c r="V66" s="9">
        <v>26619875000</v>
      </c>
      <c r="W66" s="9">
        <v>26619875000</v>
      </c>
      <c r="X66" s="9">
        <v>0</v>
      </c>
    </row>
    <row r="67">
      <c r="A67" s="0" t="inlineStr">
        <is>
          <t xml:space="preserve">VG-005</t>
        </is>
      </c>
      <c r="B67" s="23">
        <v>1</v>
      </c>
      <c r="C67" s="9">
        <v>3969928320.000001</v>
      </c>
      <c r="D67" s="9">
        <v>450000000</v>
      </c>
      <c r="E67" s="9">
        <v>1620112878.7878788</v>
      </c>
      <c r="F67" s="9">
        <v>1899815441.2121222</v>
      </c>
      <c r="G67" s="9">
        <v>0</v>
      </c>
      <c r="H67" s="9">
        <v>0</v>
      </c>
      <c r="I67" s="9">
        <v>379963088.2424245</v>
      </c>
      <c r="J67" s="9">
        <v>326295478.35616446</v>
      </c>
      <c r="K67" s="9">
        <v>326295478.35616446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0" t="inlineStr">
        <is>
          <t xml:space="preserve">ZERO_RESIDUAL_NO_SALE</t>
        </is>
      </c>
      <c r="U67" s="9">
        <v>2813669753.401412</v>
      </c>
      <c r="V67" s="9">
        <v>0</v>
      </c>
      <c r="W67" s="9">
        <v>0</v>
      </c>
      <c r="X67" s="9">
        <v>0</v>
      </c>
    </row>
    <row r="68">
      <c r="A68" s="0" t="inlineStr">
        <is>
          <t xml:space="preserve">VG-005</t>
        </is>
      </c>
      <c r="B68" s="23">
        <v>2</v>
      </c>
      <c r="C68" s="9">
        <v>3989579465.1840005</v>
      </c>
      <c r="D68" s="9">
        <v>459000000</v>
      </c>
      <c r="E68" s="9">
        <v>1620112878.7878788</v>
      </c>
      <c r="F68" s="9">
        <v>1910466586.3961217</v>
      </c>
      <c r="G68" s="9">
        <v>0</v>
      </c>
      <c r="H68" s="9">
        <v>0</v>
      </c>
      <c r="I68" s="9">
        <v>382093317.2792244</v>
      </c>
      <c r="J68" s="9">
        <v>327910640.97402745</v>
      </c>
      <c r="K68" s="9">
        <v>1615162.6178629994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0" t="inlineStr">
        <is>
          <t xml:space="preserve">ZERO_RESIDUAL_NO_SALE</t>
        </is>
      </c>
      <c r="U68" s="9">
        <v>3146870985.286913</v>
      </c>
      <c r="V68" s="9">
        <v>0</v>
      </c>
      <c r="W68" s="9">
        <v>0</v>
      </c>
      <c r="X68" s="9">
        <v>0</v>
      </c>
    </row>
    <row r="69">
      <c r="A69" s="0" t="inlineStr">
        <is>
          <t xml:space="preserve">VG-005</t>
        </is>
      </c>
      <c r="B69" s="23">
        <v>3</v>
      </c>
      <c r="C69" s="9">
        <v>4009327883.536662</v>
      </c>
      <c r="D69" s="9">
        <v>468180000</v>
      </c>
      <c r="E69" s="9">
        <v>1620112878.7878788</v>
      </c>
      <c r="F69" s="9">
        <v>1921035004.7487833</v>
      </c>
      <c r="G69" s="9">
        <v>0</v>
      </c>
      <c r="H69" s="9">
        <v>0</v>
      </c>
      <c r="I69" s="9">
        <v>384207000.9497567</v>
      </c>
      <c r="J69" s="9">
        <v>329533798.646849</v>
      </c>
      <c r="K69" s="9">
        <v>1623157.6728215218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0" t="inlineStr">
        <is>
          <t xml:space="preserve">ZERO_RESIDUAL_NO_SALE</t>
        </is>
      </c>
      <c r="U69" s="9">
        <v>3155317724.914084</v>
      </c>
      <c r="V69" s="9">
        <v>0</v>
      </c>
      <c r="W69" s="9">
        <v>0</v>
      </c>
      <c r="X69" s="9">
        <v>0</v>
      </c>
    </row>
    <row r="70">
      <c r="A70" s="0" t="inlineStr">
        <is>
          <t xml:space="preserve">VG-005</t>
        </is>
      </c>
      <c r="B70" s="23">
        <v>4</v>
      </c>
      <c r="C70" s="9">
        <v>4029174056.5601687</v>
      </c>
      <c r="D70" s="9">
        <v>477543600.00000006</v>
      </c>
      <c r="E70" s="9">
        <v>1620112878.7878788</v>
      </c>
      <c r="F70" s="9">
        <v>1931517577.77229</v>
      </c>
      <c r="G70" s="9">
        <v>0</v>
      </c>
      <c r="H70" s="9">
        <v>0</v>
      </c>
      <c r="I70" s="9">
        <v>386303515.554458</v>
      </c>
      <c r="J70" s="9">
        <v>331164990.95015085</v>
      </c>
      <c r="K70" s="9">
        <v>1631192.3033018708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0" t="inlineStr">
        <is>
          <t xml:space="preserve">ZERO_RESIDUAL_NO_SALE</t>
        </is>
      </c>
      <c r="U70" s="9">
        <v>3163695748.702409</v>
      </c>
      <c r="V70" s="9">
        <v>0</v>
      </c>
      <c r="W70" s="9">
        <v>0</v>
      </c>
      <c r="X70" s="9">
        <v>0</v>
      </c>
    </row>
    <row r="71">
      <c r="A71" s="0" t="inlineStr">
        <is>
          <t xml:space="preserve">VG-005</t>
        </is>
      </c>
      <c r="B71" s="23">
        <v>5</v>
      </c>
      <c r="C71" s="9">
        <v>4049118468.140141</v>
      </c>
      <c r="D71" s="9">
        <v>487094472</v>
      </c>
      <c r="E71" s="9">
        <v>1620112878.7878788</v>
      </c>
      <c r="F71" s="9">
        <v>1941911117.3522623</v>
      </c>
      <c r="G71" s="9">
        <v>0</v>
      </c>
      <c r="H71" s="9">
        <v>0</v>
      </c>
      <c r="I71" s="9">
        <v>388382223.4704525</v>
      </c>
      <c r="J71" s="9">
        <v>332804257.655354</v>
      </c>
      <c r="K71" s="9">
        <v>1639266.7052031755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121508465.9090909</v>
      </c>
      <c r="R71" s="9">
        <v>0</v>
      </c>
      <c r="S71" s="9">
        <v>0</v>
      </c>
      <c r="T71" s="0" t="inlineStr">
        <is>
          <t xml:space="preserve">ZERO_RESIDUAL_NO_SALE</t>
        </is>
      </c>
      <c r="U71" s="9">
        <v>3050494040.0553946</v>
      </c>
      <c r="V71" s="9">
        <v>0</v>
      </c>
      <c r="W71" s="9">
        <v>0</v>
      </c>
      <c r="X71" s="9">
        <v>0</v>
      </c>
    </row>
    <row r="72">
      <c r="A72" s="0" t="inlineStr">
        <is>
          <t xml:space="preserve">VG-005</t>
        </is>
      </c>
      <c r="B72" s="23">
        <v>6</v>
      </c>
      <c r="C72" s="9">
        <v>4069161604.557435</v>
      </c>
      <c r="D72" s="9">
        <v>496836361.44</v>
      </c>
      <c r="E72" s="9">
        <v>1620112878.7878788</v>
      </c>
      <c r="F72" s="9">
        <v>1952212364.3295562</v>
      </c>
      <c r="G72" s="9">
        <v>0</v>
      </c>
      <c r="H72" s="9">
        <v>0</v>
      </c>
      <c r="I72" s="9">
        <v>390442472.86591125</v>
      </c>
      <c r="J72" s="9">
        <v>334451638.7307481</v>
      </c>
      <c r="K72" s="9">
        <v>1647381.075394094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0" t="inlineStr">
        <is>
          <t xml:space="preserve">ZERO_RESIDUAL_NO_SALE</t>
        </is>
      </c>
      <c r="U72" s="9">
        <v>3180235389.17613</v>
      </c>
      <c r="V72" s="9">
        <v>0</v>
      </c>
      <c r="W72" s="9">
        <v>0</v>
      </c>
      <c r="X72" s="9">
        <v>0</v>
      </c>
    </row>
    <row r="73">
      <c r="A73" s="0" t="inlineStr">
        <is>
          <t xml:space="preserve">VG-005</t>
        </is>
      </c>
      <c r="B73" s="23">
        <v>7</v>
      </c>
      <c r="C73" s="9">
        <v>4089303954.4999943</v>
      </c>
      <c r="D73" s="9">
        <v>506773088.66880006</v>
      </c>
      <c r="E73" s="9">
        <v>1620112878.7878788</v>
      </c>
      <c r="F73" s="9">
        <v>1962417987.0433156</v>
      </c>
      <c r="G73" s="9">
        <v>0</v>
      </c>
      <c r="H73" s="9">
        <v>0</v>
      </c>
      <c r="I73" s="9">
        <v>392483597.40866315</v>
      </c>
      <c r="J73" s="9">
        <v>336107174.3424653</v>
      </c>
      <c r="K73" s="9">
        <v>1655535.6117171645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0" t="inlineStr">
        <is>
          <t xml:space="preserve">ZERO_RESIDUAL_NO_SALE</t>
        </is>
      </c>
      <c r="U73" s="9">
        <v>3188391732.810814</v>
      </c>
      <c r="V73" s="9">
        <v>0</v>
      </c>
      <c r="W73" s="9">
        <v>0</v>
      </c>
      <c r="X73" s="9">
        <v>0</v>
      </c>
    </row>
    <row r="74">
      <c r="A74" s="0" t="inlineStr">
        <is>
          <t xml:space="preserve">VG-005</t>
        </is>
      </c>
      <c r="B74" s="23">
        <v>8</v>
      </c>
      <c r="C74" s="9">
        <v>4109546009.074769</v>
      </c>
      <c r="D74" s="9">
        <v>516908550.44217604</v>
      </c>
      <c r="E74" s="9">
        <v>1620112878.7878788</v>
      </c>
      <c r="F74" s="9">
        <v>1972524579.8447144</v>
      </c>
      <c r="G74" s="9">
        <v>0</v>
      </c>
      <c r="H74" s="9">
        <v>0</v>
      </c>
      <c r="I74" s="9">
        <v>394504915.9689429</v>
      </c>
      <c r="J74" s="9">
        <v>337770904.85546046</v>
      </c>
      <c r="K74" s="9">
        <v>1663730.5129951835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0" t="inlineStr">
        <is>
          <t xml:space="preserve">ZERO_RESIDUAL_NO_SALE</t>
        </is>
      </c>
      <c r="U74" s="9">
        <v>3196468812.1506553</v>
      </c>
      <c r="V74" s="9">
        <v>0</v>
      </c>
      <c r="W74" s="9">
        <v>0</v>
      </c>
      <c r="X74" s="9">
        <v>0</v>
      </c>
    </row>
    <row r="75">
      <c r="A75" s="0" t="inlineStr">
        <is>
          <t xml:space="preserve">VG-005</t>
        </is>
      </c>
      <c r="B75" s="23">
        <v>9</v>
      </c>
      <c r="C75" s="9">
        <v>4129888261.8196893</v>
      </c>
      <c r="D75" s="9">
        <v>527246721.4510196</v>
      </c>
      <c r="E75" s="9">
        <v>1620112878.7878788</v>
      </c>
      <c r="F75" s="9">
        <v>1982528661.5807908</v>
      </c>
      <c r="G75" s="9">
        <v>0</v>
      </c>
      <c r="H75" s="9">
        <v>0</v>
      </c>
      <c r="I75" s="9">
        <v>396505732.3161582</v>
      </c>
      <c r="J75" s="9">
        <v>339442870.834495</v>
      </c>
      <c r="K75" s="9">
        <v>1671965.979034543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0" t="inlineStr">
        <is>
          <t xml:space="preserve">ZERO_RESIDUAL_NO_SALE</t>
        </is>
      </c>
      <c r="U75" s="9">
        <v>3204463842.073477</v>
      </c>
      <c r="V75" s="9">
        <v>0</v>
      </c>
      <c r="W75" s="9">
        <v>0</v>
      </c>
      <c r="X75" s="9">
        <v>0</v>
      </c>
    </row>
    <row r="76">
      <c r="A76" s="0" t="inlineStr">
        <is>
          <t xml:space="preserve">VG-005</t>
        </is>
      </c>
      <c r="B76" s="23">
        <v>10</v>
      </c>
      <c r="C76" s="9">
        <v>4150331208.715696</v>
      </c>
      <c r="D76" s="9">
        <v>537791655.8800399</v>
      </c>
      <c r="E76" s="9">
        <v>1620112878.7878788</v>
      </c>
      <c r="F76" s="9">
        <v>1992426674.0477774</v>
      </c>
      <c r="G76" s="9">
        <v>0</v>
      </c>
      <c r="H76" s="9">
        <v>0</v>
      </c>
      <c r="I76" s="9">
        <v>398485334.80955553</v>
      </c>
      <c r="J76" s="9">
        <v>341123113.04512566</v>
      </c>
      <c r="K76" s="9">
        <v>1680242.2106306553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121508465.9090909</v>
      </c>
      <c r="R76" s="9">
        <v>0</v>
      </c>
      <c r="S76" s="9">
        <v>0</v>
      </c>
      <c r="T76" s="0" t="inlineStr">
        <is>
          <t xml:space="preserve">ZERO_RESIDUAL_NO_SALE</t>
        </is>
      </c>
      <c r="U76" s="9">
        <v>3090865509.9063787</v>
      </c>
      <c r="V76" s="9">
        <v>0</v>
      </c>
      <c r="W76" s="9">
        <v>0</v>
      </c>
      <c r="X76" s="9">
        <v>0</v>
      </c>
    </row>
    <row r="77">
      <c r="A77" s="0" t="inlineStr">
        <is>
          <t xml:space="preserve">VG-005</t>
        </is>
      </c>
      <c r="B77" s="23">
        <v>11</v>
      </c>
      <c r="C77" s="9">
        <v>4170875348.198839</v>
      </c>
      <c r="D77" s="9">
        <v>548547488.9976408</v>
      </c>
      <c r="E77" s="9">
        <v>1620112878.7878788</v>
      </c>
      <c r="F77" s="9">
        <v>2002214980.4133198</v>
      </c>
      <c r="G77" s="9">
        <v>0</v>
      </c>
      <c r="H77" s="9">
        <v>0</v>
      </c>
      <c r="I77" s="9">
        <v>400442996.082664</v>
      </c>
      <c r="J77" s="9">
        <v>342811672.4546991</v>
      </c>
      <c r="K77" s="9">
        <v>1688559.4095734358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0" t="inlineStr">
        <is>
          <t xml:space="preserve">ZERO_RESIDUAL_NO_SALE</t>
        </is>
      </c>
      <c r="U77" s="9">
        <v>3220196303.708961</v>
      </c>
      <c r="V77" s="9">
        <v>0</v>
      </c>
      <c r="W77" s="9">
        <v>0</v>
      </c>
      <c r="X77" s="9">
        <v>0</v>
      </c>
    </row>
    <row r="78">
      <c r="A78" s="0" t="inlineStr">
        <is>
          <t xml:space="preserve">VG-005</t>
        </is>
      </c>
      <c r="B78" s="23">
        <v>12</v>
      </c>
      <c r="C78" s="9">
        <v>4191521181.1724234</v>
      </c>
      <c r="D78" s="9">
        <v>559518438.7775936</v>
      </c>
      <c r="E78" s="9">
        <v>1620112878.7878788</v>
      </c>
      <c r="F78" s="9">
        <v>2011889863.606951</v>
      </c>
      <c r="G78" s="9">
        <v>0</v>
      </c>
      <c r="H78" s="9">
        <v>0</v>
      </c>
      <c r="I78" s="9">
        <v>402377972.72139025</v>
      </c>
      <c r="J78" s="9">
        <v>344508590.23334986</v>
      </c>
      <c r="K78" s="9">
        <v>1696917.7786507607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0" t="inlineStr">
        <is>
          <t xml:space="preserve">ZERO_RESIDUAL_NO_SALE</t>
        </is>
      </c>
      <c r="U78" s="9">
        <v>3227927851.8947887</v>
      </c>
      <c r="V78" s="9">
        <v>0</v>
      </c>
      <c r="W78" s="9">
        <v>0</v>
      </c>
      <c r="X78" s="9">
        <v>0</v>
      </c>
    </row>
    <row r="79">
      <c r="A79" s="0" t="inlineStr">
        <is>
          <t xml:space="preserve">VG-005</t>
        </is>
      </c>
      <c r="B79" s="23">
        <v>13</v>
      </c>
      <c r="C79" s="9">
        <v>4212269211.0192266</v>
      </c>
      <c r="D79" s="9">
        <v>570708807.5531455</v>
      </c>
      <c r="E79" s="9">
        <v>1620112878.7878788</v>
      </c>
      <c r="F79" s="9">
        <v>2021447524.6782024</v>
      </c>
      <c r="G79" s="9">
        <v>0</v>
      </c>
      <c r="H79" s="9">
        <v>0</v>
      </c>
      <c r="I79" s="9">
        <v>404289504.9356405</v>
      </c>
      <c r="J79" s="9">
        <v>346213907.75500494</v>
      </c>
      <c r="K79" s="9">
        <v>1705317.5216550827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0" t="inlineStr">
        <is>
          <t xml:space="preserve">ZERO_RESIDUAL_NO_SALE</t>
        </is>
      </c>
      <c r="U79" s="9">
        <v>3235565581.0087857</v>
      </c>
      <c r="V79" s="9">
        <v>0</v>
      </c>
      <c r="W79" s="9">
        <v>0</v>
      </c>
      <c r="X79" s="9">
        <v>0</v>
      </c>
    </row>
    <row r="80">
      <c r="A80" s="0" t="inlineStr">
        <is>
          <t xml:space="preserve">VG-005</t>
        </is>
      </c>
      <c r="B80" s="23">
        <v>14</v>
      </c>
      <c r="C80" s="9">
        <v>4233119943.6137724</v>
      </c>
      <c r="D80" s="9">
        <v>582122983.7042085</v>
      </c>
      <c r="E80" s="9">
        <v>1620112878.7878788</v>
      </c>
      <c r="F80" s="9">
        <v>2030884081.1216853</v>
      </c>
      <c r="G80" s="9">
        <v>0</v>
      </c>
      <c r="H80" s="9">
        <v>0</v>
      </c>
      <c r="I80" s="9">
        <v>406176816.2243371</v>
      </c>
      <c r="J80" s="9">
        <v>347927666.59839225</v>
      </c>
      <c r="K80" s="9">
        <v>1713758.8433873057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0" t="inlineStr">
        <is>
          <t xml:space="preserve">ZERO_RESIDUAL_NO_SALE</t>
        </is>
      </c>
      <c r="U80" s="9">
        <v>3243106384.84184</v>
      </c>
      <c r="V80" s="9">
        <v>0</v>
      </c>
      <c r="W80" s="9">
        <v>0</v>
      </c>
      <c r="X80" s="9">
        <v>0</v>
      </c>
    </row>
    <row r="81">
      <c r="A81" s="0" t="inlineStr">
        <is>
          <t xml:space="preserve">VG-005</t>
        </is>
      </c>
      <c r="B81" s="23">
        <v>15</v>
      </c>
      <c r="C81" s="9">
        <v>4254073887.3346605</v>
      </c>
      <c r="D81" s="9">
        <v>593765443.3782926</v>
      </c>
      <c r="E81" s="9">
        <v>1620112878.7878788</v>
      </c>
      <c r="F81" s="9">
        <v>2040195565.1684892</v>
      </c>
      <c r="G81" s="9">
        <v>0</v>
      </c>
      <c r="H81" s="9">
        <v>0</v>
      </c>
      <c r="I81" s="9">
        <v>408039113.03369784</v>
      </c>
      <c r="J81" s="9">
        <v>0</v>
      </c>
      <c r="K81" s="9">
        <v>-347927666.59839225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347927666.59839225</v>
      </c>
      <c r="T81" s="0" t="inlineStr">
        <is>
          <t xml:space="preserve">ZERO_RESIDUAL_NO_SALE</t>
        </is>
      </c>
      <c r="U81" s="9">
        <v>3600196997.521063</v>
      </c>
      <c r="V81" s="9">
        <v>0</v>
      </c>
      <c r="W81" s="9">
        <v>0</v>
      </c>
      <c r="X81" s="9">
        <v>0</v>
      </c>
    </row>
    <row r="82">
      <c r="A82" s="0" t="inlineStr">
        <is>
          <t xml:space="preserve">VG-006</t>
        </is>
      </c>
      <c r="B82" s="23">
        <v>0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26619875000</v>
      </c>
      <c r="M82" s="9">
        <v>24301693181.81818</v>
      </c>
      <c r="N82" s="9">
        <v>2318181818.181821</v>
      </c>
      <c r="O82" s="9">
        <v>25500000000</v>
      </c>
      <c r="P82" s="9">
        <v>1119875000</v>
      </c>
      <c r="Q82" s="9">
        <v>0</v>
      </c>
      <c r="R82" s="9">
        <v>0</v>
      </c>
      <c r="S82" s="9">
        <v>0</v>
      </c>
      <c r="T82" s="0" t="inlineStr">
        <is>
          <t xml:space="preserve">ZERO_RESIDUAL_NO_SALE</t>
        </is>
      </c>
      <c r="U82" s="9">
        <v>0</v>
      </c>
      <c r="V82" s="9">
        <v>26619875000</v>
      </c>
      <c r="W82" s="9">
        <v>26619875000</v>
      </c>
      <c r="X82" s="9">
        <v>0</v>
      </c>
    </row>
    <row r="83">
      <c r="A83" s="0" t="inlineStr">
        <is>
          <t xml:space="preserve">VG-006</t>
        </is>
      </c>
      <c r="B83" s="23">
        <v>1</v>
      </c>
      <c r="C83" s="9">
        <v>3716528640.0000005</v>
      </c>
      <c r="D83" s="9">
        <v>450000000</v>
      </c>
      <c r="E83" s="9">
        <v>1620112878.7878788</v>
      </c>
      <c r="F83" s="9">
        <v>1646415761.2121217</v>
      </c>
      <c r="G83" s="9">
        <v>0</v>
      </c>
      <c r="H83" s="9">
        <v>0</v>
      </c>
      <c r="I83" s="9">
        <v>329283152.24242437</v>
      </c>
      <c r="J83" s="9">
        <v>305468107.3972603</v>
      </c>
      <c r="K83" s="9">
        <v>305468107.3972603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0" t="inlineStr">
        <is>
          <t xml:space="preserve">ZERO_RESIDUAL_NO_SALE</t>
        </is>
      </c>
      <c r="U83" s="9">
        <v>2631777380.360316</v>
      </c>
      <c r="V83" s="9">
        <v>0</v>
      </c>
      <c r="W83" s="9">
        <v>0</v>
      </c>
      <c r="X83" s="9">
        <v>0</v>
      </c>
    </row>
    <row r="84">
      <c r="A84" s="0" t="inlineStr">
        <is>
          <t xml:space="preserve">VG-006</t>
        </is>
      </c>
      <c r="B84" s="23">
        <v>2</v>
      </c>
      <c r="C84" s="9">
        <v>3734925456.768</v>
      </c>
      <c r="D84" s="9">
        <v>459000000</v>
      </c>
      <c r="E84" s="9">
        <v>1620112878.7878788</v>
      </c>
      <c r="F84" s="9">
        <v>1655812577.9801214</v>
      </c>
      <c r="G84" s="9">
        <v>0</v>
      </c>
      <c r="H84" s="9">
        <v>0</v>
      </c>
      <c r="I84" s="9">
        <v>331162515.5960243</v>
      </c>
      <c r="J84" s="9">
        <v>306980174.5288767</v>
      </c>
      <c r="K84" s="9">
        <v>1512067.1316164136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0" t="inlineStr">
        <is>
          <t xml:space="preserve">ZERO_RESIDUAL_NO_SALE</t>
        </is>
      </c>
      <c r="U84" s="9">
        <v>2943250874.0403595</v>
      </c>
      <c r="V84" s="9">
        <v>0</v>
      </c>
      <c r="W84" s="9">
        <v>0</v>
      </c>
      <c r="X84" s="9">
        <v>0</v>
      </c>
    </row>
    <row r="85">
      <c r="A85" s="0" t="inlineStr">
        <is>
          <t xml:space="preserve">VG-006</t>
        </is>
      </c>
      <c r="B85" s="23">
        <v>3</v>
      </c>
      <c r="C85" s="9">
        <v>3753413337.779002</v>
      </c>
      <c r="D85" s="9">
        <v>468180000</v>
      </c>
      <c r="E85" s="9">
        <v>1620112878.7878788</v>
      </c>
      <c r="F85" s="9">
        <v>1665120458.9911234</v>
      </c>
      <c r="G85" s="9">
        <v>0</v>
      </c>
      <c r="H85" s="9">
        <v>0</v>
      </c>
      <c r="I85" s="9">
        <v>333024091.7982247</v>
      </c>
      <c r="J85" s="9">
        <v>308499726.3927947</v>
      </c>
      <c r="K85" s="9">
        <v>1519551.8639180064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0" t="inlineStr">
        <is>
          <t xml:space="preserve">ZERO_RESIDUAL_NO_SALE</t>
        </is>
      </c>
      <c r="U85" s="9">
        <v>2950689694.11686</v>
      </c>
      <c r="V85" s="9">
        <v>0</v>
      </c>
      <c r="W85" s="9">
        <v>0</v>
      </c>
      <c r="X85" s="9">
        <v>0</v>
      </c>
    </row>
    <row r="86">
      <c r="A86" s="0" t="inlineStr">
        <is>
          <t xml:space="preserve">VG-006</t>
        </is>
      </c>
      <c r="B86" s="23">
        <v>4</v>
      </c>
      <c r="C86" s="9">
        <v>3771992733.8010087</v>
      </c>
      <c r="D86" s="9">
        <v>477543600.00000006</v>
      </c>
      <c r="E86" s="9">
        <v>1620112878.7878788</v>
      </c>
      <c r="F86" s="9">
        <v>1674336255.01313</v>
      </c>
      <c r="G86" s="9">
        <v>0</v>
      </c>
      <c r="H86" s="9">
        <v>0</v>
      </c>
      <c r="I86" s="9">
        <v>334867251.002626</v>
      </c>
      <c r="J86" s="9">
        <v>310026800.03843904</v>
      </c>
      <c r="K86" s="9">
        <v>1527073.6456443071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0" t="inlineStr">
        <is>
          <t xml:space="preserve">ZERO_RESIDUAL_NO_SALE</t>
        </is>
      </c>
      <c r="U86" s="9">
        <v>2958054809.1527386</v>
      </c>
      <c r="V86" s="9">
        <v>0</v>
      </c>
      <c r="W86" s="9">
        <v>0</v>
      </c>
      <c r="X86" s="9">
        <v>0</v>
      </c>
    </row>
    <row r="87">
      <c r="A87" s="0" t="inlineStr">
        <is>
          <t xml:space="preserve">VG-006</t>
        </is>
      </c>
      <c r="B87" s="23">
        <v>5</v>
      </c>
      <c r="C87" s="9">
        <v>3790664097.833323</v>
      </c>
      <c r="D87" s="9">
        <v>487094472</v>
      </c>
      <c r="E87" s="9">
        <v>1620112878.7878788</v>
      </c>
      <c r="F87" s="9">
        <v>1683456747.0454443</v>
      </c>
      <c r="G87" s="9">
        <v>0</v>
      </c>
      <c r="H87" s="9">
        <v>0</v>
      </c>
      <c r="I87" s="9">
        <v>336691349.40908885</v>
      </c>
      <c r="J87" s="9">
        <v>311561432.6986293</v>
      </c>
      <c r="K87" s="9">
        <v>1534632.6601902843</v>
      </c>
      <c r="L87" s="9">
        <v>0</v>
      </c>
      <c r="M87" s="9">
        <v>0</v>
      </c>
      <c r="N87" s="9">
        <v>0</v>
      </c>
      <c r="O87" s="9">
        <v>0</v>
      </c>
      <c r="P87" s="9">
        <v>0</v>
      </c>
      <c r="Q87" s="9">
        <v>121508465.9090909</v>
      </c>
      <c r="R87" s="9">
        <v>0</v>
      </c>
      <c r="S87" s="9">
        <v>0</v>
      </c>
      <c r="T87" s="0" t="inlineStr">
        <is>
          <t xml:space="preserve">ZERO_RESIDUAL_NO_SALE</t>
        </is>
      </c>
      <c r="U87" s="9">
        <v>2843835177.8549533</v>
      </c>
      <c r="V87" s="9">
        <v>0</v>
      </c>
      <c r="W87" s="9">
        <v>0</v>
      </c>
      <c r="X87" s="9">
        <v>0</v>
      </c>
    </row>
    <row r="88">
      <c r="A88" s="0" t="inlineStr">
        <is>
          <t xml:space="preserve">VG-006</t>
        </is>
      </c>
      <c r="B88" s="23">
        <v>6</v>
      </c>
      <c r="C88" s="9">
        <v>3809427885.117598</v>
      </c>
      <c r="D88" s="9">
        <v>496836361.44</v>
      </c>
      <c r="E88" s="9">
        <v>1620112878.7878788</v>
      </c>
      <c r="F88" s="9">
        <v>1692478644.8897192</v>
      </c>
      <c r="G88" s="9">
        <v>0</v>
      </c>
      <c r="H88" s="9">
        <v>0</v>
      </c>
      <c r="I88" s="9">
        <v>338495728.9779439</v>
      </c>
      <c r="J88" s="9">
        <v>313103661.7904875</v>
      </c>
      <c r="K88" s="9">
        <v>1542229.0918582082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0" t="inlineStr">
        <is>
          <t xml:space="preserve">ZERO_RESIDUAL_NO_SALE</t>
        </is>
      </c>
      <c r="U88" s="9">
        <v>2972553565.6077957</v>
      </c>
      <c r="V88" s="9">
        <v>0</v>
      </c>
      <c r="W88" s="9">
        <v>0</v>
      </c>
      <c r="X88" s="9">
        <v>0</v>
      </c>
    </row>
    <row r="89">
      <c r="A89" s="0" t="inlineStr">
        <is>
          <t xml:space="preserve">VG-006</t>
        </is>
      </c>
      <c r="B89" s="23">
        <v>7</v>
      </c>
      <c r="C89" s="9">
        <v>3828284553.1489305</v>
      </c>
      <c r="D89" s="9">
        <v>506773088.66880006</v>
      </c>
      <c r="E89" s="9">
        <v>1620112878.7878788</v>
      </c>
      <c r="F89" s="9">
        <v>1701398585.692252</v>
      </c>
      <c r="G89" s="9">
        <v>0</v>
      </c>
      <c r="H89" s="9">
        <v>0</v>
      </c>
      <c r="I89" s="9">
        <v>340279717.1384504</v>
      </c>
      <c r="J89" s="9">
        <v>314653524.9163504</v>
      </c>
      <c r="K89" s="9">
        <v>1549863.1258628964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0</v>
      </c>
      <c r="R89" s="9">
        <v>0</v>
      </c>
      <c r="S89" s="9">
        <v>0</v>
      </c>
      <c r="T89" s="0" t="inlineStr">
        <is>
          <t xml:space="preserve">ZERO_RESIDUAL_NO_SALE</t>
        </is>
      </c>
      <c r="U89" s="9">
        <v>2979681884.2158175</v>
      </c>
      <c r="V89" s="9">
        <v>0</v>
      </c>
      <c r="W89" s="9">
        <v>0</v>
      </c>
      <c r="X89" s="9">
        <v>0</v>
      </c>
    </row>
    <row r="90">
      <c r="A90" s="0" t="inlineStr">
        <is>
          <t xml:space="preserve">VG-006</t>
        </is>
      </c>
      <c r="B90" s="23">
        <v>8</v>
      </c>
      <c r="C90" s="9">
        <v>3847234561.6870174</v>
      </c>
      <c r="D90" s="9">
        <v>516908550.44217604</v>
      </c>
      <c r="E90" s="9">
        <v>1620112878.7878788</v>
      </c>
      <c r="F90" s="9">
        <v>1710213132.4569628</v>
      </c>
      <c r="G90" s="9">
        <v>0</v>
      </c>
      <c r="H90" s="9">
        <v>0</v>
      </c>
      <c r="I90" s="9">
        <v>342042626.4913926</v>
      </c>
      <c r="J90" s="9">
        <v>316211059.86468637</v>
      </c>
      <c r="K90" s="9">
        <v>1557534.9483359456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0</v>
      </c>
      <c r="R90" s="9">
        <v>0</v>
      </c>
      <c r="S90" s="9">
        <v>0</v>
      </c>
      <c r="T90" s="0" t="inlineStr">
        <is>
          <t xml:space="preserve">ZERO_RESIDUAL_NO_SALE</t>
        </is>
      </c>
      <c r="U90" s="9">
        <v>2986725849.805113</v>
      </c>
      <c r="V90" s="9">
        <v>0</v>
      </c>
      <c r="W90" s="9">
        <v>0</v>
      </c>
      <c r="X90" s="9">
        <v>0</v>
      </c>
    </row>
    <row r="91">
      <c r="A91" s="0" t="inlineStr">
        <is>
          <t xml:space="preserve">VG-006</t>
        </is>
      </c>
      <c r="B91" s="23">
        <v>9</v>
      </c>
      <c r="C91" s="9">
        <v>3866278372.767368</v>
      </c>
      <c r="D91" s="9">
        <v>527246721.4510196</v>
      </c>
      <c r="E91" s="9">
        <v>1620112878.7878788</v>
      </c>
      <c r="F91" s="9">
        <v>1718918772.5284693</v>
      </c>
      <c r="G91" s="9">
        <v>0</v>
      </c>
      <c r="H91" s="9">
        <v>0</v>
      </c>
      <c r="I91" s="9">
        <v>343783754.5056939</v>
      </c>
      <c r="J91" s="9">
        <v>317776304.6110166</v>
      </c>
      <c r="K91" s="9">
        <v>1565244.7463302016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0" t="inlineStr">
        <is>
          <t xml:space="preserve">ZERO_RESIDUAL_NO_SALE</t>
        </is>
      </c>
      <c r="U91" s="9">
        <v>2993682652.064324</v>
      </c>
      <c r="V91" s="9">
        <v>0</v>
      </c>
      <c r="W91" s="9">
        <v>0</v>
      </c>
      <c r="X91" s="9">
        <v>0</v>
      </c>
    </row>
    <row r="92">
      <c r="A92" s="0" t="inlineStr">
        <is>
          <t xml:space="preserve">VG-006</t>
        </is>
      </c>
      <c r="B92" s="23">
        <v>10</v>
      </c>
      <c r="C92" s="9">
        <v>3885416450.712566</v>
      </c>
      <c r="D92" s="9">
        <v>537791655.8800399</v>
      </c>
      <c r="E92" s="9">
        <v>1620112878.7878788</v>
      </c>
      <c r="F92" s="9">
        <v>1727511916.0446475</v>
      </c>
      <c r="G92" s="9">
        <v>0</v>
      </c>
      <c r="H92" s="9">
        <v>0</v>
      </c>
      <c r="I92" s="9">
        <v>345502383.20892954</v>
      </c>
      <c r="J92" s="9">
        <v>319349297.31884104</v>
      </c>
      <c r="K92" s="9">
        <v>1572992.7078244686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121508465.9090909</v>
      </c>
      <c r="R92" s="9">
        <v>0</v>
      </c>
      <c r="S92" s="9">
        <v>0</v>
      </c>
      <c r="T92" s="0" t="inlineStr">
        <is>
          <t xml:space="preserve">ZERO_RESIDUAL_NO_SALE</t>
        </is>
      </c>
      <c r="U92" s="9">
        <v>2879040953.0066814</v>
      </c>
      <c r="V92" s="9">
        <v>0</v>
      </c>
      <c r="W92" s="9">
        <v>0</v>
      </c>
      <c r="X92" s="9">
        <v>0</v>
      </c>
    </row>
    <row r="93">
      <c r="A93" s="0" t="inlineStr">
        <is>
          <t xml:space="preserve">VG-006</t>
        </is>
      </c>
      <c r="B93" s="23">
        <v>11</v>
      </c>
      <c r="C93" s="9">
        <v>3904649262.1435933</v>
      </c>
      <c r="D93" s="9">
        <v>548547488.9976408</v>
      </c>
      <c r="E93" s="9">
        <v>1620112878.7878788</v>
      </c>
      <c r="F93" s="9">
        <v>1735988894.3580735</v>
      </c>
      <c r="G93" s="9">
        <v>0</v>
      </c>
      <c r="H93" s="9">
        <v>0</v>
      </c>
      <c r="I93" s="9">
        <v>347197778.8716147</v>
      </c>
      <c r="J93" s="9">
        <v>320930076.3405693</v>
      </c>
      <c r="K93" s="9">
        <v>1580779.0217282772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0" t="inlineStr">
        <is>
          <t xml:space="preserve">ZERO_RESIDUAL_NO_SALE</t>
        </is>
      </c>
      <c r="U93" s="9">
        <v>3007323215.2526093</v>
      </c>
      <c r="V93" s="9">
        <v>0</v>
      </c>
      <c r="W93" s="9">
        <v>0</v>
      </c>
      <c r="X93" s="9">
        <v>0</v>
      </c>
    </row>
    <row r="94">
      <c r="A94" s="0" t="inlineStr">
        <is>
          <t xml:space="preserve">VG-006</t>
        </is>
      </c>
      <c r="B94" s="23">
        <v>12</v>
      </c>
      <c r="C94" s="9">
        <v>3923977275.991204</v>
      </c>
      <c r="D94" s="9">
        <v>559518438.7775936</v>
      </c>
      <c r="E94" s="9">
        <v>1620112878.7878788</v>
      </c>
      <c r="F94" s="9">
        <v>1744345958.4257314</v>
      </c>
      <c r="G94" s="9">
        <v>0</v>
      </c>
      <c r="H94" s="9">
        <v>0</v>
      </c>
      <c r="I94" s="9">
        <v>348869191.68514633</v>
      </c>
      <c r="J94" s="9">
        <v>322518680.21845514</v>
      </c>
      <c r="K94" s="9">
        <v>1588603.8778858185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0</v>
      </c>
      <c r="S94" s="9">
        <v>0</v>
      </c>
      <c r="T94" s="0" t="inlineStr">
        <is>
          <t xml:space="preserve">ZERO_RESIDUAL_NO_SALE</t>
        </is>
      </c>
      <c r="U94" s="9">
        <v>3014001041.650578</v>
      </c>
      <c r="V94" s="9">
        <v>0</v>
      </c>
      <c r="W94" s="9">
        <v>0</v>
      </c>
      <c r="X94" s="9">
        <v>0</v>
      </c>
    </row>
    <row r="95">
      <c r="A95" s="0" t="inlineStr">
        <is>
          <t xml:space="preserve">VG-006</t>
        </is>
      </c>
      <c r="B95" s="23">
        <v>13</v>
      </c>
      <c r="C95" s="9">
        <v>3943400963.50736</v>
      </c>
      <c r="D95" s="9">
        <v>570708807.5531455</v>
      </c>
      <c r="E95" s="9">
        <v>1620112878.7878788</v>
      </c>
      <c r="F95" s="9">
        <v>1752579277.1663358</v>
      </c>
      <c r="G95" s="9">
        <v>0</v>
      </c>
      <c r="H95" s="9">
        <v>0</v>
      </c>
      <c r="I95" s="9">
        <v>350515855.4332672</v>
      </c>
      <c r="J95" s="9">
        <v>324115147.68553644</v>
      </c>
      <c r="K95" s="9">
        <v>1596467.4670813084</v>
      </c>
      <c r="L95" s="9">
        <v>0</v>
      </c>
      <c r="M95" s="9">
        <v>0</v>
      </c>
      <c r="N95" s="9">
        <v>0</v>
      </c>
      <c r="O95" s="9">
        <v>0</v>
      </c>
      <c r="P95" s="9">
        <v>0</v>
      </c>
      <c r="Q95" s="9">
        <v>0</v>
      </c>
      <c r="R95" s="9">
        <v>0</v>
      </c>
      <c r="S95" s="9">
        <v>0</v>
      </c>
      <c r="T95" s="0" t="inlineStr">
        <is>
          <t xml:space="preserve">ZERO_RESIDUAL_NO_SALE</t>
        </is>
      </c>
      <c r="U95" s="9">
        <v>3020579833.0538664</v>
      </c>
      <c r="V95" s="9">
        <v>0</v>
      </c>
      <c r="W95" s="9">
        <v>0</v>
      </c>
      <c r="X95" s="9">
        <v>0</v>
      </c>
    </row>
    <row r="96">
      <c r="A96" s="0" t="inlineStr">
        <is>
          <t xml:space="preserve">VG-006</t>
        </is>
      </c>
      <c r="B96" s="23">
        <v>14</v>
      </c>
      <c r="C96" s="9">
        <v>3962920798.2767224</v>
      </c>
      <c r="D96" s="9">
        <v>582122983.7042085</v>
      </c>
      <c r="E96" s="9">
        <v>1620112878.7878788</v>
      </c>
      <c r="F96" s="9">
        <v>1760684935.7846353</v>
      </c>
      <c r="G96" s="9">
        <v>0</v>
      </c>
      <c r="H96" s="9">
        <v>0</v>
      </c>
      <c r="I96" s="9">
        <v>352136987.1569271</v>
      </c>
      <c r="J96" s="9">
        <v>325719517.6665799</v>
      </c>
      <c r="K96" s="9">
        <v>1604369.981043458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v>0</v>
      </c>
      <c r="R96" s="9">
        <v>0</v>
      </c>
      <c r="S96" s="9">
        <v>0</v>
      </c>
      <c r="T96" s="0" t="inlineStr">
        <is>
          <t xml:space="preserve">ZERO_RESIDUAL_NO_SALE</t>
        </is>
      </c>
      <c r="U96" s="9">
        <v>3027056457.4345436</v>
      </c>
      <c r="V96" s="9">
        <v>0</v>
      </c>
      <c r="W96" s="9">
        <v>0</v>
      </c>
      <c r="X96" s="9">
        <v>0</v>
      </c>
    </row>
    <row r="97">
      <c r="A97" s="0" t="inlineStr">
        <is>
          <t xml:space="preserve">VG-006</t>
        </is>
      </c>
      <c r="B97" s="23">
        <v>15</v>
      </c>
      <c r="C97" s="9">
        <v>3982537256.228193</v>
      </c>
      <c r="D97" s="9">
        <v>593765443.3782926</v>
      </c>
      <c r="E97" s="9">
        <v>1620112878.7878788</v>
      </c>
      <c r="F97" s="9">
        <v>1768658934.0620215</v>
      </c>
      <c r="G97" s="9">
        <v>0</v>
      </c>
      <c r="H97" s="9">
        <v>0</v>
      </c>
      <c r="I97" s="9">
        <v>353731786.81240433</v>
      </c>
      <c r="J97" s="9">
        <v>0</v>
      </c>
      <c r="K97" s="9">
        <v>-325719517.6665799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325719517.6665799</v>
      </c>
      <c r="T97" s="0" t="inlineStr">
        <is>
          <t xml:space="preserve">ZERO_RESIDUAL_NO_SALE</t>
        </is>
      </c>
      <c r="U97" s="9">
        <v>3360759543.704076</v>
      </c>
      <c r="V97" s="9">
        <v>0</v>
      </c>
      <c r="W97" s="9">
        <v>0</v>
      </c>
      <c r="X97" s="9">
        <v>0</v>
      </c>
    </row>
    <row r="98">
      <c r="A98" s="0" t="inlineStr">
        <is>
          <t xml:space="preserve">VG-007</t>
        </is>
      </c>
      <c r="B98" s="23">
        <v>0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28838197916.666668</v>
      </c>
      <c r="M98" s="9">
        <v>26326834280.30303</v>
      </c>
      <c r="N98" s="9">
        <v>2511363636.3636394</v>
      </c>
      <c r="O98" s="9">
        <v>27625000000</v>
      </c>
      <c r="P98" s="9">
        <v>1213197916.6666665</v>
      </c>
      <c r="Q98" s="9">
        <v>0</v>
      </c>
      <c r="R98" s="9">
        <v>0</v>
      </c>
      <c r="S98" s="9">
        <v>0</v>
      </c>
      <c r="T98" s="0" t="inlineStr">
        <is>
          <t xml:space="preserve">ZERO_RESIDUAL_NO_SALE</t>
        </is>
      </c>
      <c r="U98" s="9">
        <v>0</v>
      </c>
      <c r="V98" s="9">
        <v>28838197916.666668</v>
      </c>
      <c r="W98" s="9">
        <v>28838197916.666668</v>
      </c>
      <c r="X98" s="9">
        <v>0</v>
      </c>
    </row>
    <row r="99">
      <c r="A99" s="0" t="inlineStr">
        <is>
          <t xml:space="preserve">VG-007</t>
        </is>
      </c>
      <c r="B99" s="23">
        <v>1</v>
      </c>
      <c r="C99" s="9">
        <v>4117744800</v>
      </c>
      <c r="D99" s="9">
        <v>487500000</v>
      </c>
      <c r="E99" s="9">
        <v>1755122285.3535352</v>
      </c>
      <c r="F99" s="9">
        <v>1875122514.6464648</v>
      </c>
      <c r="G99" s="9">
        <v>0</v>
      </c>
      <c r="H99" s="9">
        <v>0</v>
      </c>
      <c r="I99" s="9">
        <v>375024502.929293</v>
      </c>
      <c r="J99" s="9">
        <v>338444778.08219177</v>
      </c>
      <c r="K99" s="9">
        <v>338444778.08219177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0" t="inlineStr">
        <is>
          <t xml:space="preserve">ZERO_RESIDUAL_NO_SALE</t>
        </is>
      </c>
      <c r="U99" s="9">
        <v>2916775518.988515</v>
      </c>
      <c r="V99" s="9">
        <v>0</v>
      </c>
      <c r="W99" s="9">
        <v>0</v>
      </c>
      <c r="X99" s="9">
        <v>0</v>
      </c>
    </row>
    <row r="100">
      <c r="A100" s="0" t="inlineStr">
        <is>
          <t xml:space="preserve">VG-007</t>
        </is>
      </c>
      <c r="B100" s="23">
        <v>2</v>
      </c>
      <c r="C100" s="9">
        <v>4138127636.76</v>
      </c>
      <c r="D100" s="9">
        <v>497250000</v>
      </c>
      <c r="E100" s="9">
        <v>1755122285.3535352</v>
      </c>
      <c r="F100" s="9">
        <v>1885755351.406465</v>
      </c>
      <c r="G100" s="9">
        <v>0</v>
      </c>
      <c r="H100" s="9">
        <v>0</v>
      </c>
      <c r="I100" s="9">
        <v>377151070.28129303</v>
      </c>
      <c r="J100" s="9">
        <v>340120079.73369867</v>
      </c>
      <c r="K100" s="9">
        <v>1675301.6515069008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0</v>
      </c>
      <c r="R100" s="9">
        <v>0</v>
      </c>
      <c r="S100" s="9">
        <v>0</v>
      </c>
      <c r="T100" s="0" t="inlineStr">
        <is>
          <t xml:space="preserve">ZERO_RESIDUAL_NO_SALE</t>
        </is>
      </c>
      <c r="U100" s="9">
        <v>3262051264.8272004</v>
      </c>
      <c r="V100" s="9">
        <v>0</v>
      </c>
      <c r="W100" s="9">
        <v>0</v>
      </c>
      <c r="X100" s="9">
        <v>0</v>
      </c>
    </row>
    <row r="101">
      <c r="A101" s="0" t="inlineStr">
        <is>
          <t xml:space="preserve">VG-007</t>
        </is>
      </c>
      <c r="B101" s="23">
        <v>3</v>
      </c>
      <c r="C101" s="9">
        <v>4158611368.5619626</v>
      </c>
      <c r="D101" s="9">
        <v>507195000</v>
      </c>
      <c r="E101" s="9">
        <v>1755122285.3535352</v>
      </c>
      <c r="F101" s="9">
        <v>1896294083.2084274</v>
      </c>
      <c r="G101" s="9">
        <v>0</v>
      </c>
      <c r="H101" s="9">
        <v>0</v>
      </c>
      <c r="I101" s="9">
        <v>379258816.6416855</v>
      </c>
      <c r="J101" s="9">
        <v>341803674.1283805</v>
      </c>
      <c r="K101" s="9">
        <v>1683594.3946818113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>
        <v>0</v>
      </c>
      <c r="T101" s="0" t="inlineStr">
        <is>
          <t xml:space="preserve">ZERO_RESIDUAL_NO_SALE</t>
        </is>
      </c>
      <c r="U101" s="9">
        <v>3270473957.525595</v>
      </c>
      <c r="V101" s="9">
        <v>0</v>
      </c>
      <c r="W101" s="9">
        <v>0</v>
      </c>
      <c r="X101" s="9">
        <v>0</v>
      </c>
    </row>
    <row r="102">
      <c r="A102" s="0" t="inlineStr">
        <is>
          <t xml:space="preserve">VG-007</t>
        </is>
      </c>
      <c r="B102" s="23">
        <v>4</v>
      </c>
      <c r="C102" s="9">
        <v>4179196494.8363442</v>
      </c>
      <c r="D102" s="9">
        <v>517338900.00000006</v>
      </c>
      <c r="E102" s="9">
        <v>1755122285.3535352</v>
      </c>
      <c r="F102" s="9">
        <v>1906735309.482809</v>
      </c>
      <c r="G102" s="9">
        <v>0</v>
      </c>
      <c r="H102" s="9">
        <v>0</v>
      </c>
      <c r="I102" s="9">
        <v>381347061.89656186</v>
      </c>
      <c r="J102" s="9">
        <v>343495602.31531596</v>
      </c>
      <c r="K102" s="9">
        <v>1691928.1869354844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0</v>
      </c>
      <c r="S102" s="9">
        <v>0</v>
      </c>
      <c r="T102" s="0" t="inlineStr">
        <is>
          <t xml:space="preserve">ZERO_RESIDUAL_NO_SALE</t>
        </is>
      </c>
      <c r="U102" s="9">
        <v>3278818604.7528467</v>
      </c>
      <c r="V102" s="9">
        <v>0</v>
      </c>
      <c r="W102" s="9">
        <v>0</v>
      </c>
      <c r="X102" s="9">
        <v>0</v>
      </c>
    </row>
    <row r="103">
      <c r="A103" s="0" t="inlineStr">
        <is>
          <t xml:space="preserve">VG-007</t>
        </is>
      </c>
      <c r="B103" s="23">
        <v>5</v>
      </c>
      <c r="C103" s="9">
        <v>4199883517.485784</v>
      </c>
      <c r="D103" s="9">
        <v>527685678</v>
      </c>
      <c r="E103" s="9">
        <v>1755122285.3535352</v>
      </c>
      <c r="F103" s="9">
        <v>1917075554.1322489</v>
      </c>
      <c r="G103" s="9">
        <v>0</v>
      </c>
      <c r="H103" s="9">
        <v>0</v>
      </c>
      <c r="I103" s="9">
        <v>383415110.8264498</v>
      </c>
      <c r="J103" s="9">
        <v>345195905.5467768</v>
      </c>
      <c r="K103" s="9">
        <v>1700303.2314608097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131634171.40151514</v>
      </c>
      <c r="R103" s="9">
        <v>0</v>
      </c>
      <c r="S103" s="9">
        <v>0</v>
      </c>
      <c r="T103" s="0" t="inlineStr">
        <is>
          <t xml:space="preserve">ZERO_RESIDUAL_NO_SALE</t>
        </is>
      </c>
      <c r="U103" s="9">
        <v>3155448254.0263586</v>
      </c>
      <c r="V103" s="9">
        <v>0</v>
      </c>
      <c r="W103" s="9">
        <v>0</v>
      </c>
      <c r="X103" s="9">
        <v>0</v>
      </c>
    </row>
    <row r="104">
      <c r="A104" s="0" t="inlineStr">
        <is>
          <t xml:space="preserve">VG-007</t>
        </is>
      </c>
      <c r="B104" s="23">
        <v>6</v>
      </c>
      <c r="C104" s="9">
        <v>4220672940.897339</v>
      </c>
      <c r="D104" s="9">
        <v>538239391.5600001</v>
      </c>
      <c r="E104" s="9">
        <v>1755122285.3535352</v>
      </c>
      <c r="F104" s="9">
        <v>1927311263.9838037</v>
      </c>
      <c r="G104" s="9">
        <v>0</v>
      </c>
      <c r="H104" s="9">
        <v>0</v>
      </c>
      <c r="I104" s="9">
        <v>385462252.7967608</v>
      </c>
      <c r="J104" s="9">
        <v>346904625.27923334</v>
      </c>
      <c r="K104" s="9">
        <v>1708719.732456565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0</v>
      </c>
      <c r="R104" s="9">
        <v>0</v>
      </c>
      <c r="S104" s="9">
        <v>0</v>
      </c>
      <c r="T104" s="0" t="inlineStr">
        <is>
          <t xml:space="preserve">ZERO_RESIDUAL_NO_SALE</t>
        </is>
      </c>
      <c r="U104" s="9">
        <v>3295262576.808121</v>
      </c>
      <c r="V104" s="9">
        <v>0</v>
      </c>
      <c r="W104" s="9">
        <v>0</v>
      </c>
      <c r="X104" s="9">
        <v>0</v>
      </c>
    </row>
    <row r="105">
      <c r="A105" s="0" t="inlineStr">
        <is>
          <t xml:space="preserve">VG-007</t>
        </is>
      </c>
      <c r="B105" s="23">
        <v>7</v>
      </c>
      <c r="C105" s="9">
        <v>4241565271.9547806</v>
      </c>
      <c r="D105" s="9">
        <v>549004179.3912001</v>
      </c>
      <c r="E105" s="9">
        <v>1755122285.3535352</v>
      </c>
      <c r="F105" s="9">
        <v>1937438807.2100453</v>
      </c>
      <c r="G105" s="9">
        <v>0</v>
      </c>
      <c r="H105" s="9">
        <v>0</v>
      </c>
      <c r="I105" s="9">
        <v>387487761.4420091</v>
      </c>
      <c r="J105" s="9">
        <v>348621803.1743655</v>
      </c>
      <c r="K105" s="9">
        <v>1717177.895132184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0" t="inlineStr">
        <is>
          <t xml:space="preserve">ZERO_RESIDUAL_NO_SALE</t>
        </is>
      </c>
      <c r="U105" s="9">
        <v>3303356153.2264395</v>
      </c>
      <c r="V105" s="9">
        <v>0</v>
      </c>
      <c r="W105" s="9">
        <v>0</v>
      </c>
      <c r="X105" s="9">
        <v>0</v>
      </c>
    </row>
    <row r="106">
      <c r="A106" s="0" t="inlineStr">
        <is>
          <t xml:space="preserve">VG-007</t>
        </is>
      </c>
      <c r="B106" s="23">
        <v>8</v>
      </c>
      <c r="C106" s="9">
        <v>4262561020.0509562</v>
      </c>
      <c r="D106" s="9">
        <v>559984262.979024</v>
      </c>
      <c r="E106" s="9">
        <v>1755122285.3535352</v>
      </c>
      <c r="F106" s="9">
        <v>1947454471.7183971</v>
      </c>
      <c r="G106" s="9">
        <v>0</v>
      </c>
      <c r="H106" s="9">
        <v>0</v>
      </c>
      <c r="I106" s="9">
        <v>389490894.3436794</v>
      </c>
      <c r="J106" s="9">
        <v>350347481.1000786</v>
      </c>
      <c r="K106" s="9">
        <v>1725677.9257130623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0" t="inlineStr">
        <is>
          <t xml:space="preserve">ZERO_RESIDUAL_NO_SALE</t>
        </is>
      </c>
      <c r="U106" s="9">
        <v>3311360184.80254</v>
      </c>
      <c r="V106" s="9">
        <v>0</v>
      </c>
      <c r="W106" s="9">
        <v>0</v>
      </c>
      <c r="X106" s="9">
        <v>0</v>
      </c>
    </row>
    <row r="107">
      <c r="A107" s="0" t="inlineStr">
        <is>
          <t xml:space="preserve">VG-007</t>
        </is>
      </c>
      <c r="B107" s="23">
        <v>9</v>
      </c>
      <c r="C107" s="9">
        <v>4283660697.100209</v>
      </c>
      <c r="D107" s="9">
        <v>571183948.2386045</v>
      </c>
      <c r="E107" s="9">
        <v>1755122285.3535352</v>
      </c>
      <c r="F107" s="9">
        <v>1957354463.5080695</v>
      </c>
      <c r="G107" s="9">
        <v>0</v>
      </c>
      <c r="H107" s="9">
        <v>0</v>
      </c>
      <c r="I107" s="9">
        <v>391470892.7016139</v>
      </c>
      <c r="J107" s="9">
        <v>352081701.131524</v>
      </c>
      <c r="K107" s="9">
        <v>1734220.0314454436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0" t="inlineStr">
        <is>
          <t xml:space="preserve">ZERO_RESIDUAL_NO_SALE</t>
        </is>
      </c>
      <c r="U107" s="9">
        <v>3319271636.1285453</v>
      </c>
      <c r="V107" s="9">
        <v>0</v>
      </c>
      <c r="W107" s="9">
        <v>0</v>
      </c>
      <c r="X107" s="9">
        <v>0</v>
      </c>
    </row>
    <row r="108">
      <c r="A108" s="0" t="inlineStr">
        <is>
          <t xml:space="preserve">VG-007</t>
        </is>
      </c>
      <c r="B108" s="23">
        <v>10</v>
      </c>
      <c r="C108" s="9">
        <v>4304864817.550855</v>
      </c>
      <c r="D108" s="9">
        <v>582607627.2033767</v>
      </c>
      <c r="E108" s="9">
        <v>1755122285.3535352</v>
      </c>
      <c r="F108" s="9">
        <v>1967134904.9939427</v>
      </c>
      <c r="G108" s="9">
        <v>0</v>
      </c>
      <c r="H108" s="9">
        <v>0</v>
      </c>
      <c r="I108" s="9">
        <v>393426980.9987886</v>
      </c>
      <c r="J108" s="9">
        <v>353824505.55212504</v>
      </c>
      <c r="K108" s="9">
        <v>1742804.4206010103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131634171.40151514</v>
      </c>
      <c r="R108" s="9">
        <v>0</v>
      </c>
      <c r="S108" s="9">
        <v>0</v>
      </c>
      <c r="T108" s="0" t="inlineStr">
        <is>
          <t xml:space="preserve">ZERO_RESIDUAL_NO_SALE</t>
        </is>
      </c>
      <c r="U108" s="9">
        <v>3195453233.526573</v>
      </c>
      <c r="V108" s="9">
        <v>0</v>
      </c>
      <c r="W108" s="9">
        <v>0</v>
      </c>
      <c r="X108" s="9">
        <v>0</v>
      </c>
    </row>
    <row r="109">
      <c r="A109" s="0" t="inlineStr">
        <is>
          <t xml:space="preserve">VG-007</t>
        </is>
      </c>
      <c r="B109" s="23">
        <v>11</v>
      </c>
      <c r="C109" s="9">
        <v>4326173898.397731</v>
      </c>
      <c r="D109" s="9">
        <v>594259779.7474442</v>
      </c>
      <c r="E109" s="9">
        <v>1755122285.3535352</v>
      </c>
      <c r="F109" s="9">
        <v>1976791833.2967515</v>
      </c>
      <c r="G109" s="9">
        <v>0</v>
      </c>
      <c r="H109" s="9">
        <v>0</v>
      </c>
      <c r="I109" s="9">
        <v>395358366.65935034</v>
      </c>
      <c r="J109" s="9">
        <v>355575936.854608</v>
      </c>
      <c r="K109" s="9">
        <v>1751431.3024829626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0" t="inlineStr">
        <is>
          <t xml:space="preserve">ZERO_RESIDUAL_NO_SALE</t>
        </is>
      </c>
      <c r="U109" s="9">
        <v>3334804320.688453</v>
      </c>
      <c r="V109" s="9">
        <v>0</v>
      </c>
      <c r="W109" s="9">
        <v>0</v>
      </c>
      <c r="X109" s="9">
        <v>0</v>
      </c>
    </row>
    <row r="110">
      <c r="A110" s="0" t="inlineStr">
        <is>
          <t xml:space="preserve">VG-007</t>
        </is>
      </c>
      <c r="B110" s="23">
        <v>12</v>
      </c>
      <c r="C110" s="9">
        <v>4347588459.194799</v>
      </c>
      <c r="D110" s="9">
        <v>606144975.342393</v>
      </c>
      <c r="E110" s="9">
        <v>1755122285.3535352</v>
      </c>
      <c r="F110" s="9">
        <v>1986321198.4988713</v>
      </c>
      <c r="G110" s="9">
        <v>0</v>
      </c>
      <c r="H110" s="9">
        <v>0</v>
      </c>
      <c r="I110" s="9">
        <v>397264239.69977427</v>
      </c>
      <c r="J110" s="9">
        <v>357336037.7420383</v>
      </c>
      <c r="K110" s="9">
        <v>1760100.8874303102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0" t="inlineStr">
        <is>
          <t xml:space="preserve">ZERO_RESIDUAL_NO_SALE</t>
        </is>
      </c>
      <c r="U110" s="9">
        <v>3342419143.265202</v>
      </c>
      <c r="V110" s="9">
        <v>0</v>
      </c>
      <c r="W110" s="9">
        <v>0</v>
      </c>
      <c r="X110" s="9">
        <v>0</v>
      </c>
    </row>
    <row r="111">
      <c r="A111" s="0" t="inlineStr">
        <is>
          <t xml:space="preserve">VG-007</t>
        </is>
      </c>
      <c r="B111" s="23">
        <v>13</v>
      </c>
      <c r="C111" s="9">
        <v>4369109022.067814</v>
      </c>
      <c r="D111" s="9">
        <v>618267874.8492409</v>
      </c>
      <c r="E111" s="9">
        <v>1755122285.3535352</v>
      </c>
      <c r="F111" s="9">
        <v>1995718861.865038</v>
      </c>
      <c r="G111" s="9">
        <v>0</v>
      </c>
      <c r="H111" s="9">
        <v>0</v>
      </c>
      <c r="I111" s="9">
        <v>399143772.3730076</v>
      </c>
      <c r="J111" s="9">
        <v>359104851.1288614</v>
      </c>
      <c r="K111" s="9">
        <v>1768813.3868231177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0" t="inlineStr">
        <is>
          <t xml:space="preserve">ZERO_RESIDUAL_NO_SALE</t>
        </is>
      </c>
      <c r="U111" s="9">
        <v>3349928561.458742</v>
      </c>
      <c r="V111" s="9">
        <v>0</v>
      </c>
      <c r="W111" s="9">
        <v>0</v>
      </c>
      <c r="X111" s="9">
        <v>0</v>
      </c>
    </row>
    <row r="112">
      <c r="A112" s="0" t="inlineStr">
        <is>
          <t xml:space="preserve">VG-007</t>
        </is>
      </c>
      <c r="B112" s="23">
        <v>14</v>
      </c>
      <c r="C112" s="9">
        <v>4390736111.727051</v>
      </c>
      <c r="D112" s="9">
        <v>630633232.3462259</v>
      </c>
      <c r="E112" s="9">
        <v>1755122285.3535352</v>
      </c>
      <c r="F112" s="9">
        <v>2004980594.0272899</v>
      </c>
      <c r="G112" s="9">
        <v>0</v>
      </c>
      <c r="H112" s="9">
        <v>0</v>
      </c>
      <c r="I112" s="9">
        <v>400996118.805458</v>
      </c>
      <c r="J112" s="9">
        <v>360882420.14194936</v>
      </c>
      <c r="K112" s="9">
        <v>1777569.0130879283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0" t="inlineStr">
        <is>
          <t xml:space="preserve">ZERO_RESIDUAL_NO_SALE</t>
        </is>
      </c>
      <c r="U112" s="9">
        <v>3357329191.562279</v>
      </c>
      <c r="V112" s="9">
        <v>0</v>
      </c>
      <c r="W112" s="9">
        <v>0</v>
      </c>
      <c r="X112" s="9">
        <v>0</v>
      </c>
    </row>
    <row r="113">
      <c r="A113" s="0" t="inlineStr">
        <is>
          <t xml:space="preserve">VG-007</t>
        </is>
      </c>
      <c r="B113" s="23">
        <v>15</v>
      </c>
      <c r="C113" s="9">
        <v>4412470255.480101</v>
      </c>
      <c r="D113" s="9">
        <v>643245896.9931502</v>
      </c>
      <c r="E113" s="9">
        <v>1755122285.3535352</v>
      </c>
      <c r="F113" s="9">
        <v>2014102073.1334152</v>
      </c>
      <c r="G113" s="9">
        <v>0</v>
      </c>
      <c r="H113" s="9">
        <v>0</v>
      </c>
      <c r="I113" s="9">
        <v>402820414.62668306</v>
      </c>
      <c r="J113" s="9">
        <v>0</v>
      </c>
      <c r="K113" s="9">
        <v>-360882420.14194936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0</v>
      </c>
      <c r="S113" s="9">
        <v>360882420.14194936</v>
      </c>
      <c r="T113" s="0" t="inlineStr">
        <is>
          <t xml:space="preserve">ZERO_RESIDUAL_NO_SALE</t>
        </is>
      </c>
      <c r="U113" s="9">
        <v>3727286364.0022163</v>
      </c>
      <c r="V113" s="9">
        <v>0</v>
      </c>
      <c r="W113" s="9">
        <v>0</v>
      </c>
      <c r="X113" s="9">
        <v>0</v>
      </c>
    </row>
    <row r="114">
      <c r="A114" s="0" t="inlineStr">
        <is>
          <t xml:space="preserve">VG-008</t>
        </is>
      </c>
      <c r="B114" s="23">
        <v>0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28838197916.666668</v>
      </c>
      <c r="M114" s="9">
        <v>26326834280.30303</v>
      </c>
      <c r="N114" s="9">
        <v>2511363636.3636394</v>
      </c>
      <c r="O114" s="9">
        <v>27625000000</v>
      </c>
      <c r="P114" s="9">
        <v>1213197916.6666665</v>
      </c>
      <c r="Q114" s="9">
        <v>0</v>
      </c>
      <c r="R114" s="9">
        <v>0</v>
      </c>
      <c r="S114" s="9">
        <v>0</v>
      </c>
      <c r="T114" s="0" t="inlineStr">
        <is>
          <t xml:space="preserve">ZERO_RESIDUAL_NO_SALE</t>
        </is>
      </c>
      <c r="U114" s="9">
        <v>0</v>
      </c>
      <c r="V114" s="9">
        <v>28838197916.666668</v>
      </c>
      <c r="W114" s="9">
        <v>28838197916.666668</v>
      </c>
      <c r="X114" s="9">
        <v>0</v>
      </c>
    </row>
    <row r="115">
      <c r="A115" s="0" t="inlineStr">
        <is>
          <t xml:space="preserve">VG-008</t>
        </is>
      </c>
      <c r="B115" s="23">
        <v>1</v>
      </c>
      <c r="C115" s="9">
        <v>4095351000.0000005</v>
      </c>
      <c r="D115" s="9">
        <v>487500000</v>
      </c>
      <c r="E115" s="9">
        <v>1755122285.3535352</v>
      </c>
      <c r="F115" s="9">
        <v>1852728714.6464653</v>
      </c>
      <c r="G115" s="9">
        <v>0</v>
      </c>
      <c r="H115" s="9">
        <v>0</v>
      </c>
      <c r="I115" s="9">
        <v>370545742.9292931</v>
      </c>
      <c r="J115" s="9">
        <v>336604191.780822</v>
      </c>
      <c r="K115" s="9">
        <v>336604191.780822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0" t="inlineStr">
        <is>
          <t xml:space="preserve">ZERO_RESIDUAL_NO_SALE</t>
        </is>
      </c>
      <c r="U115" s="9">
        <v>2900701065.2898855</v>
      </c>
      <c r="V115" s="9">
        <v>0</v>
      </c>
      <c r="W115" s="9">
        <v>0</v>
      </c>
      <c r="X115" s="9">
        <v>0</v>
      </c>
    </row>
    <row r="116">
      <c r="A116" s="0" t="inlineStr">
        <is>
          <t xml:space="preserve">VG-008</t>
        </is>
      </c>
      <c r="B116" s="23">
        <v>2</v>
      </c>
      <c r="C116" s="9">
        <v>4115622987.4500003</v>
      </c>
      <c r="D116" s="9">
        <v>497250000</v>
      </c>
      <c r="E116" s="9">
        <v>1755122285.3535352</v>
      </c>
      <c r="F116" s="9">
        <v>1863250702.096465</v>
      </c>
      <c r="G116" s="9">
        <v>0</v>
      </c>
      <c r="H116" s="9">
        <v>0</v>
      </c>
      <c r="I116" s="9">
        <v>372650140.41929305</v>
      </c>
      <c r="J116" s="9">
        <v>338270382.530137</v>
      </c>
      <c r="K116" s="9">
        <v>1666190.7493150234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0" t="inlineStr">
        <is>
          <t xml:space="preserve">ZERO_RESIDUAL_NO_SALE</t>
        </is>
      </c>
      <c r="U116" s="9">
        <v>3244056656.281392</v>
      </c>
      <c r="V116" s="9">
        <v>0</v>
      </c>
      <c r="W116" s="9">
        <v>0</v>
      </c>
      <c r="X116" s="9">
        <v>0</v>
      </c>
    </row>
    <row r="117">
      <c r="A117" s="0" t="inlineStr">
        <is>
          <t xml:space="preserve">VG-008</t>
        </is>
      </c>
      <c r="B117" s="23">
        <v>3</v>
      </c>
      <c r="C117" s="9">
        <v>4135995321.237879</v>
      </c>
      <c r="D117" s="9">
        <v>507195000</v>
      </c>
      <c r="E117" s="9">
        <v>1755122285.3535352</v>
      </c>
      <c r="F117" s="9">
        <v>1873678035.8843436</v>
      </c>
      <c r="G117" s="9">
        <v>0</v>
      </c>
      <c r="H117" s="9">
        <v>0</v>
      </c>
      <c r="I117" s="9">
        <v>374735607.17686874</v>
      </c>
      <c r="J117" s="9">
        <v>339944820.9236613</v>
      </c>
      <c r="K117" s="9">
        <v>1674438.3935242891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>
        <v>0</v>
      </c>
      <c r="T117" s="0" t="inlineStr">
        <is>
          <t xml:space="preserve">ZERO_RESIDUAL_NO_SALE</t>
        </is>
      </c>
      <c r="U117" s="9">
        <v>3252390275.6674857</v>
      </c>
      <c r="V117" s="9">
        <v>0</v>
      </c>
      <c r="W117" s="9">
        <v>0</v>
      </c>
      <c r="X117" s="9">
        <v>0</v>
      </c>
    </row>
    <row r="118">
      <c r="A118" s="0" t="inlineStr">
        <is>
          <t xml:space="preserve">VG-008</t>
        </is>
      </c>
      <c r="B118" s="23">
        <v>4</v>
      </c>
      <c r="C118" s="9">
        <v>4156468498.0780063</v>
      </c>
      <c r="D118" s="9">
        <v>517338900.00000006</v>
      </c>
      <c r="E118" s="9">
        <v>1755122285.3535352</v>
      </c>
      <c r="F118" s="9">
        <v>1884007312.724471</v>
      </c>
      <c r="G118" s="9">
        <v>0</v>
      </c>
      <c r="H118" s="9">
        <v>0</v>
      </c>
      <c r="I118" s="9">
        <v>376801462.5448942</v>
      </c>
      <c r="J118" s="9">
        <v>341627547.7872334</v>
      </c>
      <c r="K118" s="9">
        <v>1682726.8635721207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0" t="inlineStr">
        <is>
          <t xml:space="preserve">ZERO_RESIDUAL_NO_SALE</t>
        </is>
      </c>
      <c r="U118" s="9">
        <v>3260645408.66954</v>
      </c>
      <c r="V118" s="9">
        <v>0</v>
      </c>
      <c r="W118" s="9">
        <v>0</v>
      </c>
      <c r="X118" s="9">
        <v>0</v>
      </c>
    </row>
    <row r="119">
      <c r="A119" s="0" t="inlineStr">
        <is>
          <t xml:space="preserve">VG-008</t>
        </is>
      </c>
      <c r="B119" s="23">
        <v>5</v>
      </c>
      <c r="C119" s="9">
        <v>4177043017.1434913</v>
      </c>
      <c r="D119" s="9">
        <v>527685678</v>
      </c>
      <c r="E119" s="9">
        <v>1755122285.3535352</v>
      </c>
      <c r="F119" s="9">
        <v>1894235053.789956</v>
      </c>
      <c r="G119" s="9">
        <v>0</v>
      </c>
      <c r="H119" s="9">
        <v>0</v>
      </c>
      <c r="I119" s="9">
        <v>378847010.75799125</v>
      </c>
      <c r="J119" s="9">
        <v>343318604.1487801</v>
      </c>
      <c r="K119" s="9">
        <v>1691056.3615466952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131634171.40151514</v>
      </c>
      <c r="R119" s="9">
        <v>0</v>
      </c>
      <c r="S119" s="9">
        <v>0</v>
      </c>
      <c r="T119" s="0" t="inlineStr">
        <is>
          <t xml:space="preserve">ZERO_RESIDUAL_NO_SALE</t>
        </is>
      </c>
      <c r="U119" s="9">
        <v>3137185100.6224384</v>
      </c>
      <c r="V119" s="9">
        <v>0</v>
      </c>
      <c r="W119" s="9">
        <v>0</v>
      </c>
      <c r="X119" s="9">
        <v>0</v>
      </c>
    </row>
    <row r="120">
      <c r="A120" s="0" t="inlineStr">
        <is>
          <t xml:space="preserve">VG-008</t>
        </is>
      </c>
      <c r="B120" s="23">
        <v>6</v>
      </c>
      <c r="C120" s="9">
        <v>4197719380.078352</v>
      </c>
      <c r="D120" s="9">
        <v>538239391.5600001</v>
      </c>
      <c r="E120" s="9">
        <v>1755122285.3535352</v>
      </c>
      <c r="F120" s="9">
        <v>1904357703.1648169</v>
      </c>
      <c r="G120" s="9">
        <v>0</v>
      </c>
      <c r="H120" s="9">
        <v>0</v>
      </c>
      <c r="I120" s="9">
        <v>380871540.6329634</v>
      </c>
      <c r="J120" s="9">
        <v>345018031.2393166</v>
      </c>
      <c r="K120" s="9">
        <v>1699427.0905364752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0" t="inlineStr">
        <is>
          <t xml:space="preserve">ZERO_RESIDUAL_NO_SALE</t>
        </is>
      </c>
      <c r="U120" s="9">
        <v>3276909020.794852</v>
      </c>
      <c r="V120" s="9">
        <v>0</v>
      </c>
      <c r="W120" s="9">
        <v>0</v>
      </c>
      <c r="X120" s="9">
        <v>0</v>
      </c>
    </row>
    <row r="121">
      <c r="A121" s="0" t="inlineStr">
        <is>
          <t xml:space="preserve">VG-008</t>
        </is>
      </c>
      <c r="B121" s="23">
        <v>7</v>
      </c>
      <c r="C121" s="9">
        <v>4218498091.0097404</v>
      </c>
      <c r="D121" s="9">
        <v>549004179.3912001</v>
      </c>
      <c r="E121" s="9">
        <v>1755122285.3535352</v>
      </c>
      <c r="F121" s="9">
        <v>1914371626.265005</v>
      </c>
      <c r="G121" s="9">
        <v>0</v>
      </c>
      <c r="H121" s="9">
        <v>0</v>
      </c>
      <c r="I121" s="9">
        <v>382874325.25300103</v>
      </c>
      <c r="J121" s="9">
        <v>346725870.49395126</v>
      </c>
      <c r="K121" s="9">
        <v>1707839.2546346784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0</v>
      </c>
      <c r="R121" s="9">
        <v>0</v>
      </c>
      <c r="S121" s="9">
        <v>0</v>
      </c>
      <c r="T121" s="0" t="inlineStr">
        <is>
          <t xml:space="preserve">ZERO_RESIDUAL_NO_SALE</t>
        </is>
      </c>
      <c r="U121" s="9">
        <v>3284911747.110904</v>
      </c>
      <c r="V121" s="9">
        <v>0</v>
      </c>
      <c r="W121" s="9">
        <v>0</v>
      </c>
      <c r="X121" s="9">
        <v>0</v>
      </c>
    </row>
    <row r="122">
      <c r="A122" s="0" t="inlineStr">
        <is>
          <t xml:space="preserve">VG-008</t>
        </is>
      </c>
      <c r="B122" s="23">
        <v>8</v>
      </c>
      <c r="C122" s="9">
        <v>4239379656.560238</v>
      </c>
      <c r="D122" s="9">
        <v>559984262.979024</v>
      </c>
      <c r="E122" s="9">
        <v>1755122285.3535352</v>
      </c>
      <c r="F122" s="9">
        <v>1924273108.2276788</v>
      </c>
      <c r="G122" s="9">
        <v>0</v>
      </c>
      <c r="H122" s="9">
        <v>0</v>
      </c>
      <c r="I122" s="9">
        <v>384854621.64553577</v>
      </c>
      <c r="J122" s="9">
        <v>348442163.55289626</v>
      </c>
      <c r="K122" s="9">
        <v>1716293.0589450002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0" t="inlineStr">
        <is>
          <t xml:space="preserve">ZERO_RESIDUAL_NO_SALE</t>
        </is>
      </c>
      <c r="U122" s="9">
        <v>3292824478.876733</v>
      </c>
      <c r="V122" s="9">
        <v>0</v>
      </c>
      <c r="W122" s="9">
        <v>0</v>
      </c>
      <c r="X122" s="9">
        <v>0</v>
      </c>
    </row>
    <row r="123">
      <c r="A123" s="0" t="inlineStr">
        <is>
          <t xml:space="preserve">VG-008</t>
        </is>
      </c>
      <c r="B123" s="23">
        <v>9</v>
      </c>
      <c r="C123" s="9">
        <v>4260364585.8602114</v>
      </c>
      <c r="D123" s="9">
        <v>571183948.2386045</v>
      </c>
      <c r="E123" s="9">
        <v>1755122285.3535352</v>
      </c>
      <c r="F123" s="9">
        <v>1934058352.2680717</v>
      </c>
      <c r="G123" s="9">
        <v>0</v>
      </c>
      <c r="H123" s="9">
        <v>0</v>
      </c>
      <c r="I123" s="9">
        <v>386811670.45361435</v>
      </c>
      <c r="J123" s="9">
        <v>350166952.2624831</v>
      </c>
      <c r="K123" s="9">
        <v>1724788.7095868587</v>
      </c>
      <c r="L123" s="9">
        <v>0</v>
      </c>
      <c r="M123" s="9">
        <v>0</v>
      </c>
      <c r="N123" s="9">
        <v>0</v>
      </c>
      <c r="O123" s="9">
        <v>0</v>
      </c>
      <c r="P123" s="9">
        <v>0</v>
      </c>
      <c r="Q123" s="9">
        <v>0</v>
      </c>
      <c r="R123" s="9">
        <v>0</v>
      </c>
      <c r="S123" s="9">
        <v>0</v>
      </c>
      <c r="T123" s="0" t="inlineStr">
        <is>
          <t xml:space="preserve">ZERO_RESIDUAL_NO_SALE</t>
        </is>
      </c>
      <c r="U123" s="9">
        <v>3300644178.4584055</v>
      </c>
      <c r="V123" s="9">
        <v>0</v>
      </c>
      <c r="W123" s="9">
        <v>0</v>
      </c>
      <c r="X123" s="9">
        <v>0</v>
      </c>
    </row>
    <row r="124">
      <c r="A124" s="0" t="inlineStr">
        <is>
          <t xml:space="preserve">VG-008</t>
        </is>
      </c>
      <c r="B124" s="23">
        <v>10</v>
      </c>
      <c r="C124" s="9">
        <v>4281453390.560219</v>
      </c>
      <c r="D124" s="9">
        <v>582607627.2033767</v>
      </c>
      <c r="E124" s="9">
        <v>1755122285.3535352</v>
      </c>
      <c r="F124" s="9">
        <v>1943723478.0033069</v>
      </c>
      <c r="G124" s="9">
        <v>0</v>
      </c>
      <c r="H124" s="9">
        <v>0</v>
      </c>
      <c r="I124" s="9">
        <v>388744695.6006614</v>
      </c>
      <c r="J124" s="9">
        <v>351900278.6761824</v>
      </c>
      <c r="K124" s="9">
        <v>1733326.4136992693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131634171.40151514</v>
      </c>
      <c r="R124" s="9">
        <v>0</v>
      </c>
      <c r="S124" s="9">
        <v>0</v>
      </c>
      <c r="T124" s="0" t="inlineStr">
        <is>
          <t xml:space="preserve">ZERO_RESIDUAL_NO_SALE</t>
        </is>
      </c>
      <c r="U124" s="9">
        <v>3176733569.9409666</v>
      </c>
      <c r="V124" s="9">
        <v>0</v>
      </c>
      <c r="W124" s="9">
        <v>0</v>
      </c>
      <c r="X124" s="9">
        <v>0</v>
      </c>
    </row>
    <row r="125">
      <c r="A125" s="0" t="inlineStr">
        <is>
          <t xml:space="preserve">VG-008</t>
        </is>
      </c>
      <c r="B125" s="23">
        <v>11</v>
      </c>
      <c r="C125" s="9">
        <v>4302646584.8434925</v>
      </c>
      <c r="D125" s="9">
        <v>594259779.7474442</v>
      </c>
      <c r="E125" s="9">
        <v>1755122285.3535352</v>
      </c>
      <c r="F125" s="9">
        <v>1953264519.7425132</v>
      </c>
      <c r="G125" s="9">
        <v>0</v>
      </c>
      <c r="H125" s="9">
        <v>0</v>
      </c>
      <c r="I125" s="9">
        <v>390652903.94850266</v>
      </c>
      <c r="J125" s="9">
        <v>353642185.05562955</v>
      </c>
      <c r="K125" s="9">
        <v>1741906.3794471622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>
        <v>0</v>
      </c>
      <c r="T125" s="0" t="inlineStr">
        <is>
          <t xml:space="preserve">ZERO_RESIDUAL_NO_SALE</t>
        </is>
      </c>
      <c r="U125" s="9">
        <v>3315991994.768099</v>
      </c>
      <c r="V125" s="9">
        <v>0</v>
      </c>
      <c r="W125" s="9">
        <v>0</v>
      </c>
      <c r="X125" s="9">
        <v>0</v>
      </c>
    </row>
    <row r="126">
      <c r="A126" s="0" t="inlineStr">
        <is>
          <t xml:space="preserve">VG-008</t>
        </is>
      </c>
      <c r="B126" s="23">
        <v>12</v>
      </c>
      <c r="C126" s="9">
        <v>4323944685.438467</v>
      </c>
      <c r="D126" s="9">
        <v>606144975.342393</v>
      </c>
      <c r="E126" s="9">
        <v>1755122285.3535352</v>
      </c>
      <c r="F126" s="9">
        <v>1962677424.742539</v>
      </c>
      <c r="G126" s="9">
        <v>0</v>
      </c>
      <c r="H126" s="9">
        <v>0</v>
      </c>
      <c r="I126" s="9">
        <v>392535484.9485078</v>
      </c>
      <c r="J126" s="9">
        <v>355392713.8716548</v>
      </c>
      <c r="K126" s="9">
        <v>1750528.816025257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0</v>
      </c>
      <c r="R126" s="9">
        <v>0</v>
      </c>
      <c r="S126" s="9">
        <v>0</v>
      </c>
      <c r="T126" s="0" t="inlineStr">
        <is>
          <t xml:space="preserve">ZERO_RESIDUAL_NO_SALE</t>
        </is>
      </c>
      <c r="U126" s="9">
        <v>3323513696.331541</v>
      </c>
      <c r="V126" s="9">
        <v>0</v>
      </c>
      <c r="W126" s="9">
        <v>0</v>
      </c>
      <c r="X126" s="9">
        <v>0</v>
      </c>
    </row>
    <row r="127">
      <c r="A127" s="0" t="inlineStr">
        <is>
          <t xml:space="preserve">VG-008</t>
        </is>
      </c>
      <c r="B127" s="23">
        <v>13</v>
      </c>
      <c r="C127" s="9">
        <v>4345348211.631388</v>
      </c>
      <c r="D127" s="9">
        <v>618267874.8492409</v>
      </c>
      <c r="E127" s="9">
        <v>1755122285.3535352</v>
      </c>
      <c r="F127" s="9">
        <v>1971958051.4286118</v>
      </c>
      <c r="G127" s="9">
        <v>0</v>
      </c>
      <c r="H127" s="9">
        <v>0</v>
      </c>
      <c r="I127" s="9">
        <v>394391610.2857224</v>
      </c>
      <c r="J127" s="9">
        <v>357151907.80531955</v>
      </c>
      <c r="K127" s="9">
        <v>1759193.9336647391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0</v>
      </c>
      <c r="R127" s="9">
        <v>0</v>
      </c>
      <c r="S127" s="9">
        <v>0</v>
      </c>
      <c r="T127" s="0" t="inlineStr">
        <is>
          <t xml:space="preserve">ZERO_RESIDUAL_NO_SALE</t>
        </is>
      </c>
      <c r="U127" s="9">
        <v>3330929532.56276</v>
      </c>
      <c r="V127" s="9">
        <v>0</v>
      </c>
      <c r="W127" s="9">
        <v>0</v>
      </c>
      <c r="X127" s="9">
        <v>0</v>
      </c>
    </row>
    <row r="128">
      <c r="A128" s="0" t="inlineStr">
        <is>
          <t xml:space="preserve">VG-008</t>
        </is>
      </c>
      <c r="B128" s="23">
        <v>14</v>
      </c>
      <c r="C128" s="9">
        <v>4366857685.278963</v>
      </c>
      <c r="D128" s="9">
        <v>630633232.3462259</v>
      </c>
      <c r="E128" s="9">
        <v>1755122285.3535352</v>
      </c>
      <c r="F128" s="9">
        <v>1981102167.5792022</v>
      </c>
      <c r="G128" s="9">
        <v>0</v>
      </c>
      <c r="H128" s="9">
        <v>0</v>
      </c>
      <c r="I128" s="9">
        <v>396220433.5158405</v>
      </c>
      <c r="J128" s="9">
        <v>358919809.7489559</v>
      </c>
      <c r="K128" s="9">
        <v>1767901.9436363578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>
        <v>0</v>
      </c>
      <c r="T128" s="0" t="inlineStr">
        <is>
          <t xml:space="preserve">ZERO_RESIDUAL_NO_SALE</t>
        </is>
      </c>
      <c r="U128" s="9">
        <v>3338236117.4732604</v>
      </c>
      <c r="V128" s="9">
        <v>0</v>
      </c>
      <c r="W128" s="9">
        <v>0</v>
      </c>
      <c r="X128" s="9">
        <v>0</v>
      </c>
    </row>
    <row r="129">
      <c r="A129" s="0" t="inlineStr">
        <is>
          <t xml:space="preserve">VG-008</t>
        </is>
      </c>
      <c r="B129" s="23">
        <v>15</v>
      </c>
      <c r="C129" s="9">
        <v>4388473630.821095</v>
      </c>
      <c r="D129" s="9">
        <v>643245896.9931502</v>
      </c>
      <c r="E129" s="9">
        <v>1755122285.3535352</v>
      </c>
      <c r="F129" s="9">
        <v>1990105448.47441</v>
      </c>
      <c r="G129" s="9">
        <v>0</v>
      </c>
      <c r="H129" s="9">
        <v>0</v>
      </c>
      <c r="I129" s="9">
        <v>398021089.69488204</v>
      </c>
      <c r="J129" s="9">
        <v>0</v>
      </c>
      <c r="K129" s="9">
        <v>-358919809.7489559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v>0</v>
      </c>
      <c r="R129" s="9">
        <v>0</v>
      </c>
      <c r="S129" s="9">
        <v>358919809.7489559</v>
      </c>
      <c r="T129" s="0" t="inlineStr">
        <is>
          <t xml:space="preserve">ZERO_RESIDUAL_NO_SALE</t>
        </is>
      </c>
      <c r="U129" s="9">
        <v>3706126453.882019</v>
      </c>
      <c r="V129" s="9">
        <v>0</v>
      </c>
      <c r="W129" s="9">
        <v>0</v>
      </c>
      <c r="X129" s="9">
        <v>0</v>
      </c>
    </row>
    <row r="130">
      <c r="A130" s="0" t="inlineStr">
        <is>
          <t xml:space="preserve">VG-009</t>
        </is>
      </c>
      <c r="B130" s="23">
        <v>0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28838197916.666668</v>
      </c>
      <c r="M130" s="9">
        <v>26326834280.30303</v>
      </c>
      <c r="N130" s="9">
        <v>2511363636.3636394</v>
      </c>
      <c r="O130" s="9">
        <v>27625000000</v>
      </c>
      <c r="P130" s="9">
        <v>1213197916.6666665</v>
      </c>
      <c r="Q130" s="9">
        <v>0</v>
      </c>
      <c r="R130" s="9">
        <v>0</v>
      </c>
      <c r="S130" s="9">
        <v>0</v>
      </c>
      <c r="T130" s="0" t="inlineStr">
        <is>
          <t xml:space="preserve">ZERO_RESIDUAL_NO_SALE</t>
        </is>
      </c>
      <c r="U130" s="9">
        <v>0</v>
      </c>
      <c r="V130" s="9">
        <v>28838197916.666668</v>
      </c>
      <c r="W130" s="9">
        <v>28838197916.666668</v>
      </c>
      <c r="X130" s="9">
        <v>0</v>
      </c>
    </row>
    <row r="131">
      <c r="A131" s="0" t="inlineStr">
        <is>
          <t xml:space="preserve">VG-009</t>
        </is>
      </c>
      <c r="B131" s="23">
        <v>1</v>
      </c>
      <c r="C131" s="9">
        <v>4191712200</v>
      </c>
      <c r="D131" s="9">
        <v>487500000</v>
      </c>
      <c r="E131" s="9">
        <v>1755122285.3535352</v>
      </c>
      <c r="F131" s="9">
        <v>1949089914.6464648</v>
      </c>
      <c r="G131" s="9">
        <v>0</v>
      </c>
      <c r="H131" s="9">
        <v>0</v>
      </c>
      <c r="I131" s="9">
        <v>389817982.929293</v>
      </c>
      <c r="J131" s="9">
        <v>344524290.4109589</v>
      </c>
      <c r="K131" s="9">
        <v>344524290.4109589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>
        <v>0</v>
      </c>
      <c r="T131" s="0" t="inlineStr">
        <is>
          <t xml:space="preserve">ZERO_RESIDUAL_NO_SALE</t>
        </is>
      </c>
      <c r="U131" s="9">
        <v>2969869926.659748</v>
      </c>
      <c r="V131" s="9">
        <v>0</v>
      </c>
      <c r="W131" s="9">
        <v>0</v>
      </c>
      <c r="X131" s="9">
        <v>0</v>
      </c>
    </row>
    <row r="132">
      <c r="A132" s="0" t="inlineStr">
        <is>
          <t xml:space="preserve">VG-009</t>
        </is>
      </c>
      <c r="B132" s="23">
        <v>2</v>
      </c>
      <c r="C132" s="9">
        <v>4212461175.39</v>
      </c>
      <c r="D132" s="9">
        <v>497250000</v>
      </c>
      <c r="E132" s="9">
        <v>1755122285.3535352</v>
      </c>
      <c r="F132" s="9">
        <v>1960088890.0364647</v>
      </c>
      <c r="G132" s="9">
        <v>0</v>
      </c>
      <c r="H132" s="9">
        <v>0</v>
      </c>
      <c r="I132" s="9">
        <v>392017778.007293</v>
      </c>
      <c r="J132" s="9">
        <v>346229685.6484932</v>
      </c>
      <c r="K132" s="9">
        <v>1705395.2375342846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v>0</v>
      </c>
      <c r="R132" s="9">
        <v>0</v>
      </c>
      <c r="S132" s="9">
        <v>0</v>
      </c>
      <c r="T132" s="0" t="inlineStr">
        <is>
          <t xml:space="preserve">ZERO_RESIDUAL_NO_SALE</t>
        </is>
      </c>
      <c r="U132" s="9">
        <v>3321488002.145172</v>
      </c>
      <c r="V132" s="9">
        <v>0</v>
      </c>
      <c r="W132" s="9">
        <v>0</v>
      </c>
      <c r="X132" s="9">
        <v>0</v>
      </c>
    </row>
    <row r="133">
      <c r="A133" s="0" t="inlineStr">
        <is>
          <t xml:space="preserve">VG-009</t>
        </is>
      </c>
      <c r="B133" s="23">
        <v>3</v>
      </c>
      <c r="C133" s="9">
        <v>4233312858.208181</v>
      </c>
      <c r="D133" s="9">
        <v>507195000</v>
      </c>
      <c r="E133" s="9">
        <v>1755122285.3535352</v>
      </c>
      <c r="F133" s="9">
        <v>1970995572.8546457</v>
      </c>
      <c r="G133" s="9">
        <v>0</v>
      </c>
      <c r="H133" s="9">
        <v>0</v>
      </c>
      <c r="I133" s="9">
        <v>394199114.57092917</v>
      </c>
      <c r="J133" s="9">
        <v>347943522.59245324</v>
      </c>
      <c r="K133" s="9">
        <v>1713836.9439600706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0" t="inlineStr">
        <is>
          <t xml:space="preserve">ZERO_RESIDUAL_NO_SALE</t>
        </is>
      </c>
      <c r="U133" s="9">
        <v>3330204906.6932917</v>
      </c>
      <c r="V133" s="9">
        <v>0</v>
      </c>
      <c r="W133" s="9">
        <v>0</v>
      </c>
      <c r="X133" s="9">
        <v>0</v>
      </c>
    </row>
    <row r="134">
      <c r="A134" s="0" t="inlineStr">
        <is>
          <t xml:space="preserve">VG-009</t>
        </is>
      </c>
      <c r="B134" s="23">
        <v>4</v>
      </c>
      <c r="C134" s="9">
        <v>4254267756.856312</v>
      </c>
      <c r="D134" s="9">
        <v>517338900.00000006</v>
      </c>
      <c r="E134" s="9">
        <v>1755122285.3535352</v>
      </c>
      <c r="F134" s="9">
        <v>1981806571.5027766</v>
      </c>
      <c r="G134" s="9">
        <v>0</v>
      </c>
      <c r="H134" s="9">
        <v>0</v>
      </c>
      <c r="I134" s="9">
        <v>396361314.30055535</v>
      </c>
      <c r="J134" s="9">
        <v>349665843.0292859</v>
      </c>
      <c r="K134" s="9">
        <v>1722320.4368326664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9">
        <v>0</v>
      </c>
      <c r="S134" s="9">
        <v>0</v>
      </c>
      <c r="T134" s="0" t="inlineStr">
        <is>
          <t xml:space="preserve">ZERO_RESIDUAL_NO_SALE</t>
        </is>
      </c>
      <c r="U134" s="9">
        <v>3338845222.118924</v>
      </c>
      <c r="V134" s="9">
        <v>0</v>
      </c>
      <c r="W134" s="9">
        <v>0</v>
      </c>
      <c r="X134" s="9">
        <v>0</v>
      </c>
    </row>
    <row r="135">
      <c r="A135" s="0" t="inlineStr">
        <is>
          <t xml:space="preserve">VG-009</t>
        </is>
      </c>
      <c r="B135" s="23">
        <v>5</v>
      </c>
      <c r="C135" s="9">
        <v>4275326382.2527494</v>
      </c>
      <c r="D135" s="9">
        <v>527685678</v>
      </c>
      <c r="E135" s="9">
        <v>1755122285.3535352</v>
      </c>
      <c r="F135" s="9">
        <v>1992518418.8992143</v>
      </c>
      <c r="G135" s="9">
        <v>0</v>
      </c>
      <c r="H135" s="9">
        <v>0</v>
      </c>
      <c r="I135" s="9">
        <v>398503683.77984285</v>
      </c>
      <c r="J135" s="9">
        <v>351396688.9522808</v>
      </c>
      <c r="K135" s="9">
        <v>1730845.9229949117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131634171.40151514</v>
      </c>
      <c r="R135" s="9">
        <v>0</v>
      </c>
      <c r="S135" s="9">
        <v>0</v>
      </c>
      <c r="T135" s="0" t="inlineStr">
        <is>
          <t xml:space="preserve">ZERO_RESIDUAL_NO_SALE</t>
        </is>
      </c>
      <c r="U135" s="9">
        <v>3215772003.1483965</v>
      </c>
      <c r="V135" s="9">
        <v>0</v>
      </c>
      <c r="W135" s="9">
        <v>0</v>
      </c>
      <c r="X135" s="9">
        <v>0</v>
      </c>
    </row>
    <row r="136">
      <c r="A136" s="0" t="inlineStr">
        <is>
          <t xml:space="preserve">VG-009</t>
        </is>
      </c>
      <c r="B136" s="23">
        <v>6</v>
      </c>
      <c r="C136" s="9">
        <v>4296489247.844901</v>
      </c>
      <c r="D136" s="9">
        <v>538239391.5600001</v>
      </c>
      <c r="E136" s="9">
        <v>1755122285.3535352</v>
      </c>
      <c r="F136" s="9">
        <v>2003127570.931366</v>
      </c>
      <c r="G136" s="9">
        <v>0</v>
      </c>
      <c r="H136" s="9">
        <v>0</v>
      </c>
      <c r="I136" s="9">
        <v>400625514.1862732</v>
      </c>
      <c r="J136" s="9">
        <v>353136102.5625946</v>
      </c>
      <c r="K136" s="9">
        <v>1739413.6103137732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>
        <v>0</v>
      </c>
      <c r="T136" s="0" t="inlineStr">
        <is>
          <t xml:space="preserve">ZERO_RESIDUAL_NO_SALE</t>
        </is>
      </c>
      <c r="U136" s="9">
        <v>3355884928.488314</v>
      </c>
      <c r="V136" s="9">
        <v>0</v>
      </c>
      <c r="W136" s="9">
        <v>0</v>
      </c>
      <c r="X136" s="9">
        <v>0</v>
      </c>
    </row>
    <row r="137">
      <c r="A137" s="0" t="inlineStr">
        <is>
          <t xml:space="preserve">VG-009</t>
        </is>
      </c>
      <c r="B137" s="23">
        <v>7</v>
      </c>
      <c r="C137" s="9">
        <v>4317756869.621734</v>
      </c>
      <c r="D137" s="9">
        <v>549004179.3912001</v>
      </c>
      <c r="E137" s="9">
        <v>1755122285.3535352</v>
      </c>
      <c r="F137" s="9">
        <v>2013630404.8769984</v>
      </c>
      <c r="G137" s="9">
        <v>0</v>
      </c>
      <c r="H137" s="9">
        <v>0</v>
      </c>
      <c r="I137" s="9">
        <v>402726080.97539973</v>
      </c>
      <c r="J137" s="9">
        <v>354884126.27027947</v>
      </c>
      <c r="K137" s="9">
        <v>1748023.7076848745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0" t="inlineStr">
        <is>
          <t xml:space="preserve">ZERO_RESIDUAL_NO_SALE</t>
        </is>
      </c>
      <c r="U137" s="9">
        <v>3364278585.5474486</v>
      </c>
      <c r="V137" s="9">
        <v>0</v>
      </c>
      <c r="W137" s="9">
        <v>0</v>
      </c>
      <c r="X137" s="9">
        <v>0</v>
      </c>
    </row>
    <row r="138">
      <c r="A138" s="0" t="inlineStr">
        <is>
          <t xml:space="preserve">VG-009</t>
        </is>
      </c>
      <c r="B138" s="23">
        <v>8</v>
      </c>
      <c r="C138" s="9">
        <v>4339129766.126361</v>
      </c>
      <c r="D138" s="9">
        <v>559984262.979024</v>
      </c>
      <c r="E138" s="9">
        <v>1755122285.3535352</v>
      </c>
      <c r="F138" s="9">
        <v>2024023217.7938018</v>
      </c>
      <c r="G138" s="9">
        <v>0</v>
      </c>
      <c r="H138" s="9">
        <v>0</v>
      </c>
      <c r="I138" s="9">
        <v>404804643.5587604</v>
      </c>
      <c r="J138" s="9">
        <v>356640802.6953173</v>
      </c>
      <c r="K138" s="9">
        <v>1756676.4250378609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0</v>
      </c>
      <c r="T138" s="0" t="inlineStr">
        <is>
          <t xml:space="preserve">ZERO_RESIDUAL_NO_SALE</t>
        </is>
      </c>
      <c r="U138" s="9">
        <v>3372584183.1635385</v>
      </c>
      <c r="V138" s="9">
        <v>0</v>
      </c>
      <c r="W138" s="9">
        <v>0</v>
      </c>
      <c r="X138" s="9">
        <v>0</v>
      </c>
    </row>
    <row r="139">
      <c r="A139" s="0" t="inlineStr">
        <is>
          <t xml:space="preserve">VG-009</t>
        </is>
      </c>
      <c r="B139" s="23">
        <v>9</v>
      </c>
      <c r="C139" s="9">
        <v>4360608458.468687</v>
      </c>
      <c r="D139" s="9">
        <v>571183948.2386045</v>
      </c>
      <c r="E139" s="9">
        <v>1755122285.3535352</v>
      </c>
      <c r="F139" s="9">
        <v>2034302224.8765473</v>
      </c>
      <c r="G139" s="9">
        <v>0</v>
      </c>
      <c r="H139" s="9">
        <v>0</v>
      </c>
      <c r="I139" s="9">
        <v>406860444.9753095</v>
      </c>
      <c r="J139" s="9">
        <v>358406174.6686592</v>
      </c>
      <c r="K139" s="9">
        <v>1765371.9733418822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0</v>
      </c>
      <c r="T139" s="0" t="inlineStr">
        <is>
          <t xml:space="preserve">ZERO_RESIDUAL_NO_SALE</t>
        </is>
      </c>
      <c r="U139" s="9">
        <v>3380798693.281431</v>
      </c>
      <c r="V139" s="9">
        <v>0</v>
      </c>
      <c r="W139" s="9">
        <v>0</v>
      </c>
      <c r="X139" s="9">
        <v>0</v>
      </c>
    </row>
    <row r="140">
      <c r="A140" s="0" t="inlineStr">
        <is>
          <t xml:space="preserve">VG-009</t>
        </is>
      </c>
      <c r="B140" s="23">
        <v>10</v>
      </c>
      <c r="C140" s="9">
        <v>4382193470.338106</v>
      </c>
      <c r="D140" s="9">
        <v>582607627.2033767</v>
      </c>
      <c r="E140" s="9">
        <v>1755122285.3535352</v>
      </c>
      <c r="F140" s="9">
        <v>2044463557.7811942</v>
      </c>
      <c r="G140" s="9">
        <v>0</v>
      </c>
      <c r="H140" s="9">
        <v>0</v>
      </c>
      <c r="I140" s="9">
        <v>408892711.5562389</v>
      </c>
      <c r="J140" s="9">
        <v>360180285.23326904</v>
      </c>
      <c r="K140" s="9">
        <v>1774110.5646098256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v>131634171.40151514</v>
      </c>
      <c r="R140" s="9">
        <v>0</v>
      </c>
      <c r="S140" s="9">
        <v>0</v>
      </c>
      <c r="T140" s="0" t="inlineStr">
        <is>
          <t xml:space="preserve">ZERO_RESIDUAL_NO_SALE</t>
        </is>
      </c>
      <c r="U140" s="9">
        <v>3257284849.6123652</v>
      </c>
      <c r="V140" s="9">
        <v>0</v>
      </c>
      <c r="W140" s="9">
        <v>0</v>
      </c>
      <c r="X140" s="9">
        <v>0</v>
      </c>
    </row>
    <row r="141">
      <c r="A141" s="0" t="inlineStr">
        <is>
          <t xml:space="preserve">VG-009</t>
        </is>
      </c>
      <c r="B141" s="23">
        <v>11</v>
      </c>
      <c r="C141" s="9">
        <v>4403885328.01628</v>
      </c>
      <c r="D141" s="9">
        <v>594259779.7474442</v>
      </c>
      <c r="E141" s="9">
        <v>1755122285.3535352</v>
      </c>
      <c r="F141" s="9">
        <v>2054503262.9153008</v>
      </c>
      <c r="G141" s="9">
        <v>0</v>
      </c>
      <c r="H141" s="9">
        <v>0</v>
      </c>
      <c r="I141" s="9">
        <v>410900652.5830602</v>
      </c>
      <c r="J141" s="9">
        <v>361963177.6451737</v>
      </c>
      <c r="K141" s="9">
        <v>1782892.4119046926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0" t="inlineStr">
        <is>
          <t xml:space="preserve">ZERO_RESIDUAL_NO_SALE</t>
        </is>
      </c>
      <c r="U141" s="9">
        <v>3396942003.273871</v>
      </c>
      <c r="V141" s="9">
        <v>0</v>
      </c>
      <c r="W141" s="9">
        <v>0</v>
      </c>
      <c r="X141" s="9">
        <v>0</v>
      </c>
    </row>
    <row r="142">
      <c r="A142" s="0" t="inlineStr">
        <is>
          <t xml:space="preserve">VG-009</t>
        </is>
      </c>
      <c r="B142" s="23">
        <v>12</v>
      </c>
      <c r="C142" s="9">
        <v>4425684560.38996</v>
      </c>
      <c r="D142" s="9">
        <v>606144975.342393</v>
      </c>
      <c r="E142" s="9">
        <v>1755122285.3535352</v>
      </c>
      <c r="F142" s="9">
        <v>2064417299.6940322</v>
      </c>
      <c r="G142" s="9">
        <v>0</v>
      </c>
      <c r="H142" s="9">
        <v>0</v>
      </c>
      <c r="I142" s="9">
        <v>412883459.9388065</v>
      </c>
      <c r="J142" s="9">
        <v>363754895.37451726</v>
      </c>
      <c r="K142" s="9">
        <v>1791717.7293435335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0" t="inlineStr">
        <is>
          <t xml:space="preserve">ZERO_RESIDUAL_NO_SALE</t>
        </is>
      </c>
      <c r="U142" s="9">
        <v>3404864407.3794174</v>
      </c>
      <c r="V142" s="9">
        <v>0</v>
      </c>
      <c r="W142" s="9">
        <v>0</v>
      </c>
      <c r="X142" s="9">
        <v>0</v>
      </c>
    </row>
    <row r="143">
      <c r="A143" s="0" t="inlineStr">
        <is>
          <t xml:space="preserve">VG-009</t>
        </is>
      </c>
      <c r="B143" s="23">
        <v>13</v>
      </c>
      <c r="C143" s="9">
        <v>4447591698.96389</v>
      </c>
      <c r="D143" s="9">
        <v>618267874.8492409</v>
      </c>
      <c r="E143" s="9">
        <v>1755122285.3535352</v>
      </c>
      <c r="F143" s="9">
        <v>2074201538.7611141</v>
      </c>
      <c r="G143" s="9">
        <v>0</v>
      </c>
      <c r="H143" s="9">
        <v>0</v>
      </c>
      <c r="I143" s="9">
        <v>414840307.75222284</v>
      </c>
      <c r="J143" s="9">
        <v>365555482.1066211</v>
      </c>
      <c r="K143" s="9">
        <v>1800586.7321038246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>
        <v>0</v>
      </c>
      <c r="T143" s="0" t="inlineStr">
        <is>
          <t xml:space="preserve">ZERO_RESIDUAL_NO_SALE</t>
        </is>
      </c>
      <c r="U143" s="9">
        <v>3412682929.6303225</v>
      </c>
      <c r="V143" s="9">
        <v>0</v>
      </c>
      <c r="W143" s="9">
        <v>0</v>
      </c>
      <c r="X143" s="9">
        <v>0</v>
      </c>
    </row>
    <row r="144">
      <c r="A144" s="0" t="inlineStr">
        <is>
          <t xml:space="preserve">VG-009</t>
        </is>
      </c>
      <c r="B144" s="23">
        <v>14</v>
      </c>
      <c r="C144" s="9">
        <v>4469607277.873763</v>
      </c>
      <c r="D144" s="9">
        <v>630633232.3462259</v>
      </c>
      <c r="E144" s="9">
        <v>1755122285.3535352</v>
      </c>
      <c r="F144" s="9">
        <v>2083851760.1740022</v>
      </c>
      <c r="G144" s="9">
        <v>0</v>
      </c>
      <c r="H144" s="9">
        <v>0</v>
      </c>
      <c r="I144" s="9">
        <v>416770352.03480047</v>
      </c>
      <c r="J144" s="9">
        <v>367364981.743049</v>
      </c>
      <c r="K144" s="9">
        <v>1809499.636427939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>
        <v>0</v>
      </c>
      <c r="T144" s="0" t="inlineStr">
        <is>
          <t xml:space="preserve">ZERO_RESIDUAL_NO_SALE</t>
        </is>
      </c>
      <c r="U144" s="9">
        <v>3420394193.856309</v>
      </c>
      <c r="V144" s="9">
        <v>0</v>
      </c>
      <c r="W144" s="9">
        <v>0</v>
      </c>
      <c r="X144" s="9">
        <v>0</v>
      </c>
    </row>
    <row r="145">
      <c r="A145" s="0" t="inlineStr">
        <is>
          <t xml:space="preserve">VG-009</t>
        </is>
      </c>
      <c r="B145" s="23">
        <v>15</v>
      </c>
      <c r="C145" s="9">
        <v>4491731833.899238</v>
      </c>
      <c r="D145" s="9">
        <v>643245896.9931502</v>
      </c>
      <c r="E145" s="9">
        <v>1755122285.3535352</v>
      </c>
      <c r="F145" s="9">
        <v>2093363651.5525522</v>
      </c>
      <c r="G145" s="9">
        <v>0</v>
      </c>
      <c r="H145" s="9">
        <v>0</v>
      </c>
      <c r="I145" s="9">
        <v>418672730.31051046</v>
      </c>
      <c r="J145" s="9">
        <v>0</v>
      </c>
      <c r="K145" s="9">
        <v>-367364981.743049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367364981.743049</v>
      </c>
      <c r="T145" s="0" t="inlineStr">
        <is>
          <t xml:space="preserve">ZERO_RESIDUAL_NO_SALE</t>
        </is>
      </c>
      <c r="U145" s="9">
        <v>3797178188.338626</v>
      </c>
      <c r="V145" s="9">
        <v>0</v>
      </c>
      <c r="W145" s="9">
        <v>0</v>
      </c>
      <c r="X145" s="9">
        <v>0</v>
      </c>
    </row>
    <row r="146">
      <c r="A146" s="0" t="inlineStr">
        <is>
          <t xml:space="preserve">VG-010</t>
        </is>
      </c>
      <c r="B146" s="23">
        <v>0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28838197916.666668</v>
      </c>
      <c r="M146" s="9">
        <v>26326834280.30303</v>
      </c>
      <c r="N146" s="9">
        <v>2511363636.3636394</v>
      </c>
      <c r="O146" s="9">
        <v>27625000000</v>
      </c>
      <c r="P146" s="9">
        <v>1213197916.6666665</v>
      </c>
      <c r="Q146" s="9">
        <v>0</v>
      </c>
      <c r="R146" s="9">
        <v>0</v>
      </c>
      <c r="S146" s="9">
        <v>0</v>
      </c>
      <c r="T146" s="0" t="inlineStr">
        <is>
          <t xml:space="preserve">ZERO_RESIDUAL_NO_SALE</t>
        </is>
      </c>
      <c r="U146" s="9">
        <v>0</v>
      </c>
      <c r="V146" s="9">
        <v>28838197916.666668</v>
      </c>
      <c r="W146" s="9">
        <v>28838197916.666668</v>
      </c>
      <c r="X146" s="9">
        <v>0</v>
      </c>
    </row>
    <row r="147">
      <c r="A147" s="0" t="inlineStr">
        <is>
          <t xml:space="preserve">VG-010</t>
        </is>
      </c>
      <c r="B147" s="23">
        <v>1</v>
      </c>
      <c r="C147" s="9">
        <v>4038604960.000001</v>
      </c>
      <c r="D147" s="9">
        <v>487500000</v>
      </c>
      <c r="E147" s="9">
        <v>1755122285.3535352</v>
      </c>
      <c r="F147" s="9">
        <v>1795982674.6464658</v>
      </c>
      <c r="G147" s="9">
        <v>0</v>
      </c>
      <c r="H147" s="9">
        <v>0</v>
      </c>
      <c r="I147" s="9">
        <v>359196534.92929316</v>
      </c>
      <c r="J147" s="9">
        <v>331940133.6986302</v>
      </c>
      <c r="K147" s="9">
        <v>331940133.6986302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0" t="inlineStr">
        <is>
          <t xml:space="preserve">ZERO_RESIDUAL_NO_SALE</t>
        </is>
      </c>
      <c r="U147" s="9">
        <v>2859968291.3720775</v>
      </c>
      <c r="V147" s="9">
        <v>0</v>
      </c>
      <c r="W147" s="9">
        <v>0</v>
      </c>
      <c r="X147" s="9">
        <v>0</v>
      </c>
    </row>
    <row r="148">
      <c r="A148" s="0" t="inlineStr">
        <is>
          <t xml:space="preserve">VG-010</t>
        </is>
      </c>
      <c r="B148" s="23">
        <v>2</v>
      </c>
      <c r="C148" s="9">
        <v>4058596054.552001</v>
      </c>
      <c r="D148" s="9">
        <v>497250000</v>
      </c>
      <c r="E148" s="9">
        <v>1755122285.3535352</v>
      </c>
      <c r="F148" s="9">
        <v>1806223769.1984658</v>
      </c>
      <c r="G148" s="9">
        <v>0</v>
      </c>
      <c r="H148" s="9">
        <v>0</v>
      </c>
      <c r="I148" s="9">
        <v>361244753.8396932</v>
      </c>
      <c r="J148" s="9">
        <v>333583237.3604384</v>
      </c>
      <c r="K148" s="9">
        <v>1643103.6618081927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0" t="inlineStr">
        <is>
          <t xml:space="preserve">ZERO_RESIDUAL_NO_SALE</t>
        </is>
      </c>
      <c r="U148" s="9">
        <v>3198458197.0505</v>
      </c>
      <c r="V148" s="9">
        <v>0</v>
      </c>
      <c r="W148" s="9">
        <v>0</v>
      </c>
      <c r="X148" s="9">
        <v>0</v>
      </c>
    </row>
    <row r="149">
      <c r="A149" s="0" t="inlineStr">
        <is>
          <t xml:space="preserve">VG-010</t>
        </is>
      </c>
      <c r="B149" s="23">
        <v>3</v>
      </c>
      <c r="C149" s="9">
        <v>4078686105.0220337</v>
      </c>
      <c r="D149" s="9">
        <v>507195000</v>
      </c>
      <c r="E149" s="9">
        <v>1755122285.3535352</v>
      </c>
      <c r="F149" s="9">
        <v>1816368819.6684985</v>
      </c>
      <c r="G149" s="9">
        <v>0</v>
      </c>
      <c r="H149" s="9">
        <v>0</v>
      </c>
      <c r="I149" s="9">
        <v>363273763.9336997</v>
      </c>
      <c r="J149" s="9">
        <v>335234474.38537264</v>
      </c>
      <c r="K149" s="9">
        <v>1651237.0249342322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0" t="inlineStr">
        <is>
          <t xml:space="preserve">ZERO_RESIDUAL_NO_SALE</t>
        </is>
      </c>
      <c r="U149" s="9">
        <v>3206566104.0634</v>
      </c>
      <c r="V149" s="9">
        <v>0</v>
      </c>
      <c r="W149" s="9">
        <v>0</v>
      </c>
      <c r="X149" s="9">
        <v>0</v>
      </c>
    </row>
    <row r="150">
      <c r="A150" s="0" t="inlineStr">
        <is>
          <t xml:space="preserve">VG-010</t>
        </is>
      </c>
      <c r="B150" s="23">
        <v>4</v>
      </c>
      <c r="C150" s="9">
        <v>4098875601.241893</v>
      </c>
      <c r="D150" s="9">
        <v>517338900.00000006</v>
      </c>
      <c r="E150" s="9">
        <v>1755122285.3535352</v>
      </c>
      <c r="F150" s="9">
        <v>1826414415.8883576</v>
      </c>
      <c r="G150" s="9">
        <v>0</v>
      </c>
      <c r="H150" s="9">
        <v>0</v>
      </c>
      <c r="I150" s="9">
        <v>365282883.17767155</v>
      </c>
      <c r="J150" s="9">
        <v>336893885.03358024</v>
      </c>
      <c r="K150" s="9">
        <v>1659410.648207605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0" t="inlineStr">
        <is>
          <t xml:space="preserve">ZERO_RESIDUAL_NO_SALE</t>
        </is>
      </c>
      <c r="U150" s="9">
        <v>3214594407.4160137</v>
      </c>
      <c r="V150" s="9">
        <v>0</v>
      </c>
      <c r="W150" s="9">
        <v>0</v>
      </c>
      <c r="X150" s="9">
        <v>0</v>
      </c>
    </row>
    <row r="151">
      <c r="A151" s="0" t="inlineStr">
        <is>
          <t xml:space="preserve">VG-010</t>
        </is>
      </c>
      <c r="B151" s="23">
        <v>5</v>
      </c>
      <c r="C151" s="9">
        <v>4119165035.4680395</v>
      </c>
      <c r="D151" s="9">
        <v>527685678</v>
      </c>
      <c r="E151" s="9">
        <v>1755122285.3535352</v>
      </c>
      <c r="F151" s="9">
        <v>1836357072.1145043</v>
      </c>
      <c r="G151" s="9">
        <v>0</v>
      </c>
      <c r="H151" s="9">
        <v>0</v>
      </c>
      <c r="I151" s="9">
        <v>367271414.4229009</v>
      </c>
      <c r="J151" s="9">
        <v>338561509.7644964</v>
      </c>
      <c r="K151" s="9">
        <v>1667624.7309161425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131634171.40151514</v>
      </c>
      <c r="R151" s="9">
        <v>0</v>
      </c>
      <c r="S151" s="9">
        <v>0</v>
      </c>
      <c r="T151" s="0" t="inlineStr">
        <is>
          <t xml:space="preserve">ZERO_RESIDUAL_NO_SALE</t>
        </is>
      </c>
      <c r="U151" s="9">
        <v>3090906146.9127073</v>
      </c>
      <c r="V151" s="9">
        <v>0</v>
      </c>
      <c r="W151" s="9">
        <v>0</v>
      </c>
      <c r="X151" s="9">
        <v>0</v>
      </c>
    </row>
    <row r="152">
      <c r="A152" s="0" t="inlineStr">
        <is>
          <t xml:space="preserve">VG-010</t>
        </is>
      </c>
      <c r="B152" s="23">
        <v>6</v>
      </c>
      <c r="C152" s="9">
        <v>4139554902.393607</v>
      </c>
      <c r="D152" s="9">
        <v>538239391.5600001</v>
      </c>
      <c r="E152" s="9">
        <v>1755122285.3535352</v>
      </c>
      <c r="F152" s="9">
        <v>1846193225.480072</v>
      </c>
      <c r="G152" s="9">
        <v>0</v>
      </c>
      <c r="H152" s="9">
        <v>0</v>
      </c>
      <c r="I152" s="9">
        <v>369238645.09601444</v>
      </c>
      <c r="J152" s="9">
        <v>340237389.2378307</v>
      </c>
      <c r="K152" s="9">
        <v>1675879.4733343124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</v>
      </c>
      <c r="S152" s="9">
        <v>0</v>
      </c>
      <c r="T152" s="0" t="inlineStr">
        <is>
          <t xml:space="preserve">ZERO_RESIDUAL_NO_SALE</t>
        </is>
      </c>
      <c r="U152" s="9">
        <v>3230400986.2642584</v>
      </c>
      <c r="V152" s="9">
        <v>0</v>
      </c>
      <c r="W152" s="9">
        <v>0</v>
      </c>
      <c r="X152" s="9">
        <v>0</v>
      </c>
    </row>
    <row r="153">
      <c r="A153" s="0" t="inlineStr">
        <is>
          <t xml:space="preserve">VG-010</t>
        </is>
      </c>
      <c r="B153" s="23">
        <v>7</v>
      </c>
      <c r="C153" s="9">
        <v>4160045699.1604557</v>
      </c>
      <c r="D153" s="9">
        <v>549004179.3912001</v>
      </c>
      <c r="E153" s="9">
        <v>1755122285.3535352</v>
      </c>
      <c r="F153" s="9">
        <v>1855919234.4157205</v>
      </c>
      <c r="G153" s="9">
        <v>0</v>
      </c>
      <c r="H153" s="9">
        <v>0</v>
      </c>
      <c r="I153" s="9">
        <v>371183846.88314414</v>
      </c>
      <c r="J153" s="9">
        <v>341921564.314558</v>
      </c>
      <c r="K153" s="9">
        <v>1684175.0767273307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0" t="inlineStr">
        <is>
          <t xml:space="preserve">ZERO_RESIDUAL_NO_SALE</t>
        </is>
      </c>
      <c r="U153" s="9">
        <v>3238173497.809384</v>
      </c>
      <c r="V153" s="9">
        <v>0</v>
      </c>
      <c r="W153" s="9">
        <v>0</v>
      </c>
      <c r="X153" s="9">
        <v>0</v>
      </c>
    </row>
    <row r="154">
      <c r="A154" s="0" t="inlineStr">
        <is>
          <t xml:space="preserve">VG-010</t>
        </is>
      </c>
      <c r="B154" s="23">
        <v>8</v>
      </c>
      <c r="C154" s="9">
        <v>4180637925.371299</v>
      </c>
      <c r="D154" s="9">
        <v>559984262.979024</v>
      </c>
      <c r="E154" s="9">
        <v>1755122285.3535352</v>
      </c>
      <c r="F154" s="9">
        <v>1865531377.0387397</v>
      </c>
      <c r="G154" s="9">
        <v>0</v>
      </c>
      <c r="H154" s="9">
        <v>0</v>
      </c>
      <c r="I154" s="9">
        <v>373106275.407748</v>
      </c>
      <c r="J154" s="9">
        <v>343614076.057915</v>
      </c>
      <c r="K154" s="9">
        <v>1692511.7433569431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0</v>
      </c>
      <c r="S154" s="9">
        <v>0</v>
      </c>
      <c r="T154" s="0" t="inlineStr">
        <is>
          <t xml:space="preserve">ZERO_RESIDUAL_NO_SALE</t>
        </is>
      </c>
      <c r="U154" s="9">
        <v>3245854875.24117</v>
      </c>
      <c r="V154" s="9">
        <v>0</v>
      </c>
      <c r="W154" s="9">
        <v>0</v>
      </c>
      <c r="X154" s="9">
        <v>0</v>
      </c>
    </row>
    <row r="155">
      <c r="A155" s="0" t="inlineStr">
        <is>
          <t xml:space="preserve">VG-010</t>
        </is>
      </c>
      <c r="B155" s="23">
        <v>9</v>
      </c>
      <c r="C155" s="9">
        <v>4201332083.101887</v>
      </c>
      <c r="D155" s="9">
        <v>571183948.2386045</v>
      </c>
      <c r="E155" s="9">
        <v>1755122285.3535352</v>
      </c>
      <c r="F155" s="9">
        <v>1875025849.5097475</v>
      </c>
      <c r="G155" s="9">
        <v>0</v>
      </c>
      <c r="H155" s="9">
        <v>0</v>
      </c>
      <c r="I155" s="9">
        <v>375005169.9019495</v>
      </c>
      <c r="J155" s="9">
        <v>345314965.73440164</v>
      </c>
      <c r="K155" s="9">
        <v>1700889.676486671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0" t="inlineStr">
        <is>
          <t xml:space="preserve">ZERO_RESIDUAL_NO_SALE</t>
        </is>
      </c>
      <c r="U155" s="9">
        <v>3253442075.284847</v>
      </c>
      <c r="V155" s="9">
        <v>0</v>
      </c>
      <c r="W155" s="9">
        <v>0</v>
      </c>
      <c r="X155" s="9">
        <v>0</v>
      </c>
    </row>
    <row r="156">
      <c r="A156" s="0" t="inlineStr">
        <is>
          <t xml:space="preserve">VG-010</t>
        </is>
      </c>
      <c r="B156" s="23">
        <v>10</v>
      </c>
      <c r="C156" s="9">
        <v>4222128676.913241</v>
      </c>
      <c r="D156" s="9">
        <v>582607627.2033767</v>
      </c>
      <c r="E156" s="9">
        <v>1755122285.3535352</v>
      </c>
      <c r="F156" s="9">
        <v>1884398764.356329</v>
      </c>
      <c r="G156" s="9">
        <v>0</v>
      </c>
      <c r="H156" s="9">
        <v>0</v>
      </c>
      <c r="I156" s="9">
        <v>376879752.8712658</v>
      </c>
      <c r="J156" s="9">
        <v>347024274.8147869</v>
      </c>
      <c r="K156" s="9">
        <v>1709309.0803852677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131634171.40151514</v>
      </c>
      <c r="R156" s="9">
        <v>0</v>
      </c>
      <c r="S156" s="9">
        <v>0</v>
      </c>
      <c r="T156" s="0" t="inlineStr">
        <is>
          <t xml:space="preserve">ZERO_RESIDUAL_NO_SALE</t>
        </is>
      </c>
      <c r="U156" s="9">
        <v>3129297816.356698</v>
      </c>
      <c r="V156" s="9">
        <v>0</v>
      </c>
      <c r="W156" s="9">
        <v>0</v>
      </c>
      <c r="X156" s="9">
        <v>0</v>
      </c>
    </row>
    <row r="157">
      <c r="A157" s="0" t="inlineStr">
        <is>
          <t xml:space="preserve">VG-010</t>
        </is>
      </c>
      <c r="B157" s="23">
        <v>11</v>
      </c>
      <c r="C157" s="9">
        <v>4243028213.8639617</v>
      </c>
      <c r="D157" s="9">
        <v>594259779.7474442</v>
      </c>
      <c r="E157" s="9">
        <v>1755122285.3535352</v>
      </c>
      <c r="F157" s="9">
        <v>1893646148.7629824</v>
      </c>
      <c r="G157" s="9">
        <v>0</v>
      </c>
      <c r="H157" s="9">
        <v>0</v>
      </c>
      <c r="I157" s="9">
        <v>378729229.7525965</v>
      </c>
      <c r="J157" s="9">
        <v>348742044.9751201</v>
      </c>
      <c r="K157" s="9">
        <v>1717770.1603332162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0" t="inlineStr">
        <is>
          <t xml:space="preserve">ZERO_RESIDUAL_NO_SALE</t>
        </is>
      </c>
      <c r="U157" s="9">
        <v>3268321434.203588</v>
      </c>
      <c r="V157" s="9">
        <v>0</v>
      </c>
      <c r="W157" s="9">
        <v>0</v>
      </c>
      <c r="X157" s="9">
        <v>0</v>
      </c>
    </row>
    <row r="158">
      <c r="A158" s="0" t="inlineStr">
        <is>
          <t xml:space="preserve">VG-010</t>
        </is>
      </c>
      <c r="B158" s="23">
        <v>12</v>
      </c>
      <c r="C158" s="9">
        <v>4264031203.522588</v>
      </c>
      <c r="D158" s="9">
        <v>606144975.342393</v>
      </c>
      <c r="E158" s="9">
        <v>1755122285.3535352</v>
      </c>
      <c r="F158" s="9">
        <v>1902763942.8266597</v>
      </c>
      <c r="G158" s="9">
        <v>0</v>
      </c>
      <c r="H158" s="9">
        <v>0</v>
      </c>
      <c r="I158" s="9">
        <v>380552788.56533194</v>
      </c>
      <c r="J158" s="9">
        <v>350468318.0977469</v>
      </c>
      <c r="K158" s="9">
        <v>1726273.1226267815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0" t="inlineStr">
        <is>
          <t xml:space="preserve">ZERO_RESIDUAL_NO_SALE</t>
        </is>
      </c>
      <c r="U158" s="9">
        <v>3275607166.492236</v>
      </c>
      <c r="V158" s="9">
        <v>0</v>
      </c>
      <c r="W158" s="9">
        <v>0</v>
      </c>
      <c r="X158" s="9">
        <v>0</v>
      </c>
    </row>
    <row r="159">
      <c r="A159" s="0" t="inlineStr">
        <is>
          <t xml:space="preserve">VG-010</t>
        </is>
      </c>
      <c r="B159" s="23">
        <v>13</v>
      </c>
      <c r="C159" s="9">
        <v>4285138157.980025</v>
      </c>
      <c r="D159" s="9">
        <v>618267874.8492409</v>
      </c>
      <c r="E159" s="9">
        <v>1755122285.3535352</v>
      </c>
      <c r="F159" s="9">
        <v>1911747997.7772489</v>
      </c>
      <c r="G159" s="9">
        <v>0</v>
      </c>
      <c r="H159" s="9">
        <v>0</v>
      </c>
      <c r="I159" s="9">
        <v>382349599.5554498</v>
      </c>
      <c r="J159" s="9">
        <v>352203136.2723308</v>
      </c>
      <c r="K159" s="9">
        <v>1734818.174583912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0" t="inlineStr">
        <is>
          <t xml:space="preserve">ZERO_RESIDUAL_NO_SALE</t>
        </is>
      </c>
      <c r="U159" s="9">
        <v>3282785865.40075</v>
      </c>
      <c r="V159" s="9">
        <v>0</v>
      </c>
      <c r="W159" s="9">
        <v>0</v>
      </c>
      <c r="X159" s="9">
        <v>0</v>
      </c>
    </row>
    <row r="160">
      <c r="A160" s="0" t="inlineStr">
        <is>
          <t xml:space="preserve">VG-010</t>
        </is>
      </c>
      <c r="B160" s="23">
        <v>14</v>
      </c>
      <c r="C160" s="9">
        <v>4306349591.862027</v>
      </c>
      <c r="D160" s="9">
        <v>630633232.3462259</v>
      </c>
      <c r="E160" s="9">
        <v>1755122285.3535352</v>
      </c>
      <c r="F160" s="9">
        <v>1920594074.1622663</v>
      </c>
      <c r="G160" s="9">
        <v>0</v>
      </c>
      <c r="H160" s="9">
        <v>0</v>
      </c>
      <c r="I160" s="9">
        <v>384118814.83245325</v>
      </c>
      <c r="J160" s="9">
        <v>353946541.79687893</v>
      </c>
      <c r="K160" s="9">
        <v>1743405.5245481133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0" t="inlineStr">
        <is>
          <t xml:space="preserve">ZERO_RESIDUAL_NO_SALE</t>
        </is>
      </c>
      <c r="U160" s="9">
        <v>3289854139.1588</v>
      </c>
      <c r="V160" s="9">
        <v>0</v>
      </c>
      <c r="W160" s="9">
        <v>0</v>
      </c>
      <c r="X160" s="9">
        <v>0</v>
      </c>
    </row>
    <row r="161">
      <c r="A161" s="0" t="inlineStr">
        <is>
          <t xml:space="preserve">VG-010</t>
        </is>
      </c>
      <c r="B161" s="23">
        <v>15</v>
      </c>
      <c r="C161" s="9">
        <v>4327666022.341744</v>
      </c>
      <c r="D161" s="9">
        <v>643245896.9931502</v>
      </c>
      <c r="E161" s="9">
        <v>1755122285.3535352</v>
      </c>
      <c r="F161" s="9">
        <v>1929297839.995059</v>
      </c>
      <c r="G161" s="9">
        <v>0</v>
      </c>
      <c r="H161" s="9">
        <v>0</v>
      </c>
      <c r="I161" s="9">
        <v>385859567.9990118</v>
      </c>
      <c r="J161" s="9">
        <v>0</v>
      </c>
      <c r="K161" s="9">
        <v>-353946541.79687893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353946541.79687893</v>
      </c>
      <c r="T161" s="0" t="inlineStr">
        <is>
          <t xml:space="preserve">ZERO_RESIDUAL_NO_SALE</t>
        </is>
      </c>
      <c r="U161" s="9">
        <v>3652507099.146461</v>
      </c>
      <c r="V161" s="9">
        <v>0</v>
      </c>
      <c r="W161" s="9">
        <v>0</v>
      </c>
      <c r="X161" s="9">
        <v>0</v>
      </c>
    </row>
    <row r="162">
      <c r="A162" s="0" t="inlineStr">
        <is>
          <t xml:space="preserve">VG-011</t>
        </is>
      </c>
      <c r="B162" s="23">
        <v>0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26619875000</v>
      </c>
      <c r="M162" s="9">
        <v>24301693181.81818</v>
      </c>
      <c r="N162" s="9">
        <v>2318181818.181821</v>
      </c>
      <c r="O162" s="9">
        <v>25500000000</v>
      </c>
      <c r="P162" s="9">
        <v>1119875000</v>
      </c>
      <c r="Q162" s="9">
        <v>0</v>
      </c>
      <c r="R162" s="9">
        <v>0</v>
      </c>
      <c r="S162" s="9">
        <v>0</v>
      </c>
      <c r="T162" s="0" t="inlineStr">
        <is>
          <t xml:space="preserve">ZERO_RESIDUAL_NO_SALE</t>
        </is>
      </c>
      <c r="U162" s="9">
        <v>0</v>
      </c>
      <c r="V162" s="9">
        <v>26619875000</v>
      </c>
      <c r="W162" s="9">
        <v>26619875000</v>
      </c>
      <c r="X162" s="9">
        <v>0</v>
      </c>
    </row>
    <row r="163">
      <c r="A163" s="0" t="inlineStr">
        <is>
          <t xml:space="preserve">VG-011</t>
        </is>
      </c>
      <c r="B163" s="23">
        <v>1</v>
      </c>
      <c r="C163" s="9">
        <v>3768464160.0000005</v>
      </c>
      <c r="D163" s="9">
        <v>450000000</v>
      </c>
      <c r="E163" s="9">
        <v>1620112878.7878788</v>
      </c>
      <c r="F163" s="9">
        <v>1698351281.2121217</v>
      </c>
      <c r="G163" s="9">
        <v>0</v>
      </c>
      <c r="H163" s="9">
        <v>0</v>
      </c>
      <c r="I163" s="9">
        <v>339670256.24242437</v>
      </c>
      <c r="J163" s="9">
        <v>309736780.27397263</v>
      </c>
      <c r="K163" s="9">
        <v>309736780.27397263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0" t="inlineStr">
        <is>
          <t xml:space="preserve">ZERO_RESIDUAL_NO_SALE</t>
        </is>
      </c>
      <c r="U163" s="9">
        <v>2669057123.4836035</v>
      </c>
      <c r="V163" s="9">
        <v>0</v>
      </c>
      <c r="W163" s="9">
        <v>0</v>
      </c>
      <c r="X163" s="9">
        <v>0</v>
      </c>
    </row>
    <row r="164">
      <c r="A164" s="0" t="inlineStr">
        <is>
          <t xml:space="preserve">VG-011</t>
        </is>
      </c>
      <c r="B164" s="23">
        <v>2</v>
      </c>
      <c r="C164" s="9">
        <v>3787118057.5920005</v>
      </c>
      <c r="D164" s="9">
        <v>459000000</v>
      </c>
      <c r="E164" s="9">
        <v>1620112878.7878788</v>
      </c>
      <c r="F164" s="9">
        <v>1708005178.8041217</v>
      </c>
      <c r="G164" s="9">
        <v>0</v>
      </c>
      <c r="H164" s="9">
        <v>0</v>
      </c>
      <c r="I164" s="9">
        <v>341601035.7608244</v>
      </c>
      <c r="J164" s="9">
        <v>311269977.3363288</v>
      </c>
      <c r="K164" s="9">
        <v>1533197.062356174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0" t="inlineStr">
        <is>
          <t xml:space="preserve">ZERO_RESIDUAL_NO_SALE</t>
        </is>
      </c>
      <c r="U164" s="9">
        <v>2984983824.7688203</v>
      </c>
      <c r="V164" s="9">
        <v>0</v>
      </c>
      <c r="W164" s="9">
        <v>0</v>
      </c>
      <c r="X164" s="9">
        <v>0</v>
      </c>
    </row>
    <row r="165">
      <c r="A165" s="0" t="inlineStr">
        <is>
          <t xml:space="preserve">VG-011</t>
        </is>
      </c>
      <c r="B165" s="23">
        <v>3</v>
      </c>
      <c r="C165" s="9">
        <v>3805864291.9770813</v>
      </c>
      <c r="D165" s="9">
        <v>468180000</v>
      </c>
      <c r="E165" s="9">
        <v>1620112878.7878788</v>
      </c>
      <c r="F165" s="9">
        <v>1717571413.1892025</v>
      </c>
      <c r="G165" s="9">
        <v>0</v>
      </c>
      <c r="H165" s="9">
        <v>0</v>
      </c>
      <c r="I165" s="9">
        <v>343514282.6378405</v>
      </c>
      <c r="J165" s="9">
        <v>312810763.7241437</v>
      </c>
      <c r="K165" s="9">
        <v>1540786.3878148794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0" t="inlineStr">
        <is>
          <t xml:space="preserve">ZERO_RESIDUAL_NO_SALE</t>
        </is>
      </c>
      <c r="U165" s="9">
        <v>2992629222.951426</v>
      </c>
      <c r="V165" s="9">
        <v>0</v>
      </c>
      <c r="W165" s="9">
        <v>0</v>
      </c>
      <c r="X165" s="9">
        <v>0</v>
      </c>
    </row>
    <row r="166">
      <c r="A166" s="0" t="inlineStr">
        <is>
          <t xml:space="preserve">VG-011</t>
        </is>
      </c>
      <c r="B166" s="23">
        <v>4</v>
      </c>
      <c r="C166" s="9">
        <v>3824703320.222368</v>
      </c>
      <c r="D166" s="9">
        <v>477543600.00000006</v>
      </c>
      <c r="E166" s="9">
        <v>1620112878.7878788</v>
      </c>
      <c r="F166" s="9">
        <v>1727046841.434489</v>
      </c>
      <c r="G166" s="9">
        <v>0</v>
      </c>
      <c r="H166" s="9">
        <v>0</v>
      </c>
      <c r="I166" s="9">
        <v>345409368.28689784</v>
      </c>
      <c r="J166" s="9">
        <v>314359177.0045782</v>
      </c>
      <c r="K166" s="9">
        <v>1548413.2804344893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0" t="inlineStr">
        <is>
          <t xml:space="preserve">ZERO_RESIDUAL_NO_SALE</t>
        </is>
      </c>
      <c r="U166" s="9">
        <v>3000201938.6550355</v>
      </c>
      <c r="V166" s="9">
        <v>0</v>
      </c>
      <c r="W166" s="9">
        <v>0</v>
      </c>
      <c r="X166" s="9">
        <v>0</v>
      </c>
    </row>
    <row r="167">
      <c r="A167" s="0" t="inlineStr">
        <is>
          <t xml:space="preserve">VG-011</t>
        </is>
      </c>
      <c r="B167" s="23">
        <v>5</v>
      </c>
      <c r="C167" s="9">
        <v>3843635601.657468</v>
      </c>
      <c r="D167" s="9">
        <v>487094472</v>
      </c>
      <c r="E167" s="9">
        <v>1620112878.7878788</v>
      </c>
      <c r="F167" s="9">
        <v>1736428250.869589</v>
      </c>
      <c r="G167" s="9">
        <v>0</v>
      </c>
      <c r="H167" s="9">
        <v>0</v>
      </c>
      <c r="I167" s="9">
        <v>347285650.17391783</v>
      </c>
      <c r="J167" s="9">
        <v>315915254.9307508</v>
      </c>
      <c r="K167" s="9">
        <v>1556077.926172614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121508465.9090909</v>
      </c>
      <c r="R167" s="9">
        <v>0</v>
      </c>
      <c r="S167" s="9">
        <v>0</v>
      </c>
      <c r="T167" s="0" t="inlineStr">
        <is>
          <t xml:space="preserve">ZERO_RESIDUAL_NO_SALE</t>
        </is>
      </c>
      <c r="U167" s="9">
        <v>2886190935.6482863</v>
      </c>
      <c r="V167" s="9">
        <v>0</v>
      </c>
      <c r="W167" s="9">
        <v>0</v>
      </c>
      <c r="X167" s="9">
        <v>0</v>
      </c>
    </row>
    <row r="168">
      <c r="A168" s="0" t="inlineStr">
        <is>
          <t xml:space="preserve">VG-011</t>
        </is>
      </c>
      <c r="B168" s="23">
        <v>6</v>
      </c>
      <c r="C168" s="9">
        <v>3862661597.8856726</v>
      </c>
      <c r="D168" s="9">
        <v>496836361.44</v>
      </c>
      <c r="E168" s="9">
        <v>1620112878.7878788</v>
      </c>
      <c r="F168" s="9">
        <v>1745712357.6577938</v>
      </c>
      <c r="G168" s="9">
        <v>0</v>
      </c>
      <c r="H168" s="9">
        <v>0</v>
      </c>
      <c r="I168" s="9">
        <v>349142471.53155875</v>
      </c>
      <c r="J168" s="9">
        <v>317479035.442658</v>
      </c>
      <c r="K168" s="9">
        <v>1563780.51190722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0" t="inlineStr">
        <is>
          <t xml:space="preserve">ZERO_RESIDUAL_NO_SALE</t>
        </is>
      </c>
      <c r="U168" s="9">
        <v>3015118984.402207</v>
      </c>
      <c r="V168" s="9">
        <v>0</v>
      </c>
      <c r="W168" s="9">
        <v>0</v>
      </c>
      <c r="X168" s="9">
        <v>0</v>
      </c>
    </row>
    <row r="169">
      <c r="A169" s="0" t="inlineStr">
        <is>
          <t xml:space="preserve">VG-011</t>
        </is>
      </c>
      <c r="B169" s="23">
        <v>7</v>
      </c>
      <c r="C169" s="9">
        <v>3881781772.795207</v>
      </c>
      <c r="D169" s="9">
        <v>506773088.66880006</v>
      </c>
      <c r="E169" s="9">
        <v>1620112878.7878788</v>
      </c>
      <c r="F169" s="9">
        <v>1754895805.3385284</v>
      </c>
      <c r="G169" s="9">
        <v>0</v>
      </c>
      <c r="H169" s="9">
        <v>0</v>
      </c>
      <c r="I169" s="9">
        <v>350979161.0677057</v>
      </c>
      <c r="J169" s="9">
        <v>319050556.6680992</v>
      </c>
      <c r="K169" s="9">
        <v>1571521.2254412174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0" t="inlineStr">
        <is>
          <t xml:space="preserve">ZERO_RESIDUAL_NO_SALE</t>
        </is>
      </c>
      <c r="U169" s="9">
        <v>3022458001.8332605</v>
      </c>
      <c r="V169" s="9">
        <v>0</v>
      </c>
      <c r="W169" s="9">
        <v>0</v>
      </c>
      <c r="X169" s="9">
        <v>0</v>
      </c>
    </row>
    <row r="170">
      <c r="A170" s="0" t="inlineStr">
        <is>
          <t xml:space="preserve">VG-011</t>
        </is>
      </c>
      <c r="B170" s="23">
        <v>8</v>
      </c>
      <c r="C170" s="9">
        <v>3900996592.5705433</v>
      </c>
      <c r="D170" s="9">
        <v>516908550.44217604</v>
      </c>
      <c r="E170" s="9">
        <v>1620112878.7878788</v>
      </c>
      <c r="F170" s="9">
        <v>1763975163.3404887</v>
      </c>
      <c r="G170" s="9">
        <v>0</v>
      </c>
      <c r="H170" s="9">
        <v>0</v>
      </c>
      <c r="I170" s="9">
        <v>352795032.66809773</v>
      </c>
      <c r="J170" s="9">
        <v>320629856.92360634</v>
      </c>
      <c r="K170" s="9">
        <v>1579300.2555071115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0" t="inlineStr">
        <is>
          <t xml:space="preserve">ZERO_RESIDUAL_NO_SALE</t>
        </is>
      </c>
      <c r="U170" s="9">
        <v>3029713709.204763</v>
      </c>
      <c r="V170" s="9">
        <v>0</v>
      </c>
      <c r="W170" s="9">
        <v>0</v>
      </c>
      <c r="X170" s="9">
        <v>0</v>
      </c>
    </row>
    <row r="171">
      <c r="A171" s="0" t="inlineStr">
        <is>
          <t xml:space="preserve">VG-011</t>
        </is>
      </c>
      <c r="B171" s="23">
        <v>9</v>
      </c>
      <c r="C171" s="9">
        <v>3920306525.7037673</v>
      </c>
      <c r="D171" s="9">
        <v>527246721.4510196</v>
      </c>
      <c r="E171" s="9">
        <v>1620112878.7878788</v>
      </c>
      <c r="F171" s="9">
        <v>1772946925.4648688</v>
      </c>
      <c r="G171" s="9">
        <v>0</v>
      </c>
      <c r="H171" s="9">
        <v>0</v>
      </c>
      <c r="I171" s="9">
        <v>354589385.09297377</v>
      </c>
      <c r="J171" s="9">
        <v>322216974.71537817</v>
      </c>
      <c r="K171" s="9">
        <v>1587117.7917718291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0" t="inlineStr">
        <is>
          <t xml:space="preserve">ZERO_RESIDUAL_NO_SALE</t>
        </is>
      </c>
      <c r="U171" s="9">
        <v>3036883301.368002</v>
      </c>
      <c r="V171" s="9">
        <v>0</v>
      </c>
      <c r="W171" s="9">
        <v>0</v>
      </c>
      <c r="X171" s="9">
        <v>0</v>
      </c>
    </row>
    <row r="172">
      <c r="A172" s="0" t="inlineStr">
        <is>
          <t xml:space="preserve">VG-011</t>
        </is>
      </c>
      <c r="B172" s="23">
        <v>10</v>
      </c>
      <c r="C172" s="9">
        <v>3939712043.0060005</v>
      </c>
      <c r="D172" s="9">
        <v>537791655.8800399</v>
      </c>
      <c r="E172" s="9">
        <v>1620112878.7878788</v>
      </c>
      <c r="F172" s="9">
        <v>1781807508.3380816</v>
      </c>
      <c r="G172" s="9">
        <v>0</v>
      </c>
      <c r="H172" s="9">
        <v>0</v>
      </c>
      <c r="I172" s="9">
        <v>356361501.66761637</v>
      </c>
      <c r="J172" s="9">
        <v>323811948.74021924</v>
      </c>
      <c r="K172" s="9">
        <v>1594974.0248410702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121508465.9090909</v>
      </c>
      <c r="R172" s="9">
        <v>0</v>
      </c>
      <c r="S172" s="9">
        <v>0</v>
      </c>
      <c r="T172" s="0" t="inlineStr">
        <is>
          <t xml:space="preserve">ZERO_RESIDUAL_NO_SALE</t>
        </is>
      </c>
      <c r="U172" s="9">
        <v>2922455445.524412</v>
      </c>
      <c r="V172" s="9">
        <v>0</v>
      </c>
      <c r="W172" s="9">
        <v>0</v>
      </c>
      <c r="X172" s="9">
        <v>0</v>
      </c>
    </row>
    <row r="173">
      <c r="A173" s="0" t="inlineStr">
        <is>
          <t xml:space="preserve">VG-011</t>
        </is>
      </c>
      <c r="B173" s="23">
        <v>11</v>
      </c>
      <c r="C173" s="9">
        <v>3959213617.6188807</v>
      </c>
      <c r="D173" s="9">
        <v>548547488.9976408</v>
      </c>
      <c r="E173" s="9">
        <v>1620112878.7878788</v>
      </c>
      <c r="F173" s="9">
        <v>1790553249.833361</v>
      </c>
      <c r="G173" s="9">
        <v>0</v>
      </c>
      <c r="H173" s="9">
        <v>0</v>
      </c>
      <c r="I173" s="9">
        <v>358110649.9666722</v>
      </c>
      <c r="J173" s="9">
        <v>325414817.8864834</v>
      </c>
      <c r="K173" s="9">
        <v>1602869.1462641358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0" t="inlineStr">
        <is>
          <t xml:space="preserve">ZERO_RESIDUAL_NO_SALE</t>
        </is>
      </c>
      <c r="U173" s="9">
        <v>3050952609.5083036</v>
      </c>
      <c r="V173" s="9">
        <v>0</v>
      </c>
      <c r="W173" s="9">
        <v>0</v>
      </c>
      <c r="X173" s="9">
        <v>0</v>
      </c>
    </row>
    <row r="174">
      <c r="A174" s="0" t="inlineStr">
        <is>
          <t xml:space="preserve">VG-011</t>
        </is>
      </c>
      <c r="B174" s="23">
        <v>12</v>
      </c>
      <c r="C174" s="9">
        <v>3978811725.0260935</v>
      </c>
      <c r="D174" s="9">
        <v>559518438.7775936</v>
      </c>
      <c r="E174" s="9">
        <v>1620112878.7878788</v>
      </c>
      <c r="F174" s="9">
        <v>1799180407.460621</v>
      </c>
      <c r="G174" s="9">
        <v>0</v>
      </c>
      <c r="H174" s="9">
        <v>0</v>
      </c>
      <c r="I174" s="9">
        <v>359836081.49212426</v>
      </c>
      <c r="J174" s="9">
        <v>327025621.2350214</v>
      </c>
      <c r="K174" s="9">
        <v>1610803.348538041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0" t="inlineStr">
        <is>
          <t xml:space="preserve">ZERO_RESIDUAL_NO_SALE</t>
        </is>
      </c>
      <c r="U174" s="9">
        <v>3057846401.407838</v>
      </c>
      <c r="V174" s="9">
        <v>0</v>
      </c>
      <c r="W174" s="9">
        <v>0</v>
      </c>
      <c r="X174" s="9">
        <v>0</v>
      </c>
    </row>
    <row r="175">
      <c r="A175" s="0" t="inlineStr">
        <is>
          <t xml:space="preserve">VG-011</t>
        </is>
      </c>
      <c r="B175" s="23">
        <v>13</v>
      </c>
      <c r="C175" s="9">
        <v>3998506843.064973</v>
      </c>
      <c r="D175" s="9">
        <v>570708807.5531455</v>
      </c>
      <c r="E175" s="9">
        <v>1620112878.7878788</v>
      </c>
      <c r="F175" s="9">
        <v>1807685156.7239487</v>
      </c>
      <c r="G175" s="9">
        <v>0</v>
      </c>
      <c r="H175" s="9">
        <v>0</v>
      </c>
      <c r="I175" s="9">
        <v>361537031.34478974</v>
      </c>
      <c r="J175" s="9">
        <v>328644398.06013477</v>
      </c>
      <c r="K175" s="9">
        <v>1618776.825113356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0" t="inlineStr">
        <is>
          <t xml:space="preserve">ZERO_RESIDUAL_NO_SALE</t>
        </is>
      </c>
      <c r="U175" s="9">
        <v>3064642227.3419247</v>
      </c>
      <c r="V175" s="9">
        <v>0</v>
      </c>
      <c r="W175" s="9">
        <v>0</v>
      </c>
      <c r="X175" s="9">
        <v>0</v>
      </c>
    </row>
    <row r="176">
      <c r="A176" s="0" t="inlineStr">
        <is>
          <t xml:space="preserve">VG-011</t>
        </is>
      </c>
      <c r="B176" s="23">
        <v>14</v>
      </c>
      <c r="C176" s="9">
        <v>4018299451.938145</v>
      </c>
      <c r="D176" s="9">
        <v>582122983.7042085</v>
      </c>
      <c r="E176" s="9">
        <v>1620112878.7878788</v>
      </c>
      <c r="F176" s="9">
        <v>1816063589.446058</v>
      </c>
      <c r="G176" s="9">
        <v>0</v>
      </c>
      <c r="H176" s="9">
        <v>0</v>
      </c>
      <c r="I176" s="9">
        <v>363212717.88921165</v>
      </c>
      <c r="J176" s="9">
        <v>330271187.83053243</v>
      </c>
      <c r="K176" s="9">
        <v>1626789.7703976631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0" t="inlineStr">
        <is>
          <t xml:space="preserve">ZERO_RESIDUAL_NO_SALE</t>
        </is>
      </c>
      <c r="U176" s="9">
        <v>3071336960.5743275</v>
      </c>
      <c r="V176" s="9">
        <v>0</v>
      </c>
      <c r="W176" s="9">
        <v>0</v>
      </c>
      <c r="X176" s="9">
        <v>0</v>
      </c>
    </row>
    <row r="177">
      <c r="A177" s="0" t="inlineStr">
        <is>
          <t xml:space="preserve">VG-011</t>
        </is>
      </c>
      <c r="B177" s="23">
        <v>15</v>
      </c>
      <c r="C177" s="9">
        <v>4038190034.2252393</v>
      </c>
      <c r="D177" s="9">
        <v>593765443.3782926</v>
      </c>
      <c r="E177" s="9">
        <v>1620112878.7878788</v>
      </c>
      <c r="F177" s="9">
        <v>1824311712.059068</v>
      </c>
      <c r="G177" s="9">
        <v>0</v>
      </c>
      <c r="H177" s="9">
        <v>0</v>
      </c>
      <c r="I177" s="9">
        <v>364862342.4118136</v>
      </c>
      <c r="J177" s="9">
        <v>0</v>
      </c>
      <c r="K177" s="9">
        <v>-330271187.83053243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330271187.83053243</v>
      </c>
      <c r="T177" s="0" t="inlineStr">
        <is>
          <t xml:space="preserve">ZERO_RESIDUAL_NO_SALE</t>
        </is>
      </c>
      <c r="U177" s="9">
        <v>3409833436.2656655</v>
      </c>
      <c r="V177" s="9">
        <v>0</v>
      </c>
      <c r="W177" s="9">
        <v>0</v>
      </c>
      <c r="X177" s="9">
        <v>0</v>
      </c>
    </row>
    <row r="178">
      <c r="A178" s="0" t="inlineStr">
        <is>
          <t xml:space="preserve">VG-012</t>
        </is>
      </c>
      <c r="B178" s="23">
        <v>0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25510713541.666668</v>
      </c>
      <c r="M178" s="9">
        <v>23289122632.575756</v>
      </c>
      <c r="N178" s="9">
        <v>2221590909.090911</v>
      </c>
      <c r="O178" s="9">
        <v>24437500000</v>
      </c>
      <c r="P178" s="9">
        <v>1073213541.6666666</v>
      </c>
      <c r="Q178" s="9">
        <v>0</v>
      </c>
      <c r="R178" s="9">
        <v>0</v>
      </c>
      <c r="S178" s="9">
        <v>0</v>
      </c>
      <c r="T178" s="0" t="inlineStr">
        <is>
          <t xml:space="preserve">ZERO_RESIDUAL_NO_SALE</t>
        </is>
      </c>
      <c r="U178" s="9">
        <v>0</v>
      </c>
      <c r="V178" s="9">
        <v>25510713541.666668</v>
      </c>
      <c r="W178" s="9">
        <v>25510713541.666668</v>
      </c>
      <c r="X178" s="9">
        <v>0</v>
      </c>
    </row>
    <row r="179">
      <c r="A179" s="0" t="inlineStr">
        <is>
          <t xml:space="preserve">VG-012</t>
        </is>
      </c>
      <c r="B179" s="23">
        <v>1</v>
      </c>
      <c r="C179" s="9">
        <v>3494946599.9999995</v>
      </c>
      <c r="D179" s="9">
        <v>431250000</v>
      </c>
      <c r="E179" s="9">
        <v>1552608175.5050504</v>
      </c>
      <c r="F179" s="9">
        <v>1511088424.494949</v>
      </c>
      <c r="G179" s="9">
        <v>0</v>
      </c>
      <c r="H179" s="9">
        <v>0</v>
      </c>
      <c r="I179" s="9">
        <v>302217684.89898986</v>
      </c>
      <c r="J179" s="9">
        <v>287255884.9315068</v>
      </c>
      <c r="K179" s="9">
        <v>287255884.9315068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0" t="inlineStr">
        <is>
          <t xml:space="preserve">ZERO_RESIDUAL_NO_SALE</t>
        </is>
      </c>
      <c r="U179" s="9">
        <v>2474223030.169503</v>
      </c>
      <c r="V179" s="9">
        <v>0</v>
      </c>
      <c r="W179" s="9">
        <v>0</v>
      </c>
      <c r="X179" s="9">
        <v>0</v>
      </c>
    </row>
    <row r="180">
      <c r="A180" s="0" t="inlineStr">
        <is>
          <t xml:space="preserve">VG-012</t>
        </is>
      </c>
      <c r="B180" s="23">
        <v>2</v>
      </c>
      <c r="C180" s="9">
        <v>3512246585.6699996</v>
      </c>
      <c r="D180" s="9">
        <v>439875000</v>
      </c>
      <c r="E180" s="9">
        <v>1552608175.5050504</v>
      </c>
      <c r="F180" s="9">
        <v>1519763410.1649492</v>
      </c>
      <c r="G180" s="9">
        <v>0</v>
      </c>
      <c r="H180" s="9">
        <v>0</v>
      </c>
      <c r="I180" s="9">
        <v>303952682.03298986</v>
      </c>
      <c r="J180" s="9">
        <v>288677801.5619178</v>
      </c>
      <c r="K180" s="9">
        <v>1421916.6304109693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0" t="inlineStr">
        <is>
          <t xml:space="preserve">ZERO_RESIDUAL_NO_SALE</t>
        </is>
      </c>
      <c r="U180" s="9">
        <v>2766996987.0065985</v>
      </c>
      <c r="V180" s="9">
        <v>0</v>
      </c>
      <c r="W180" s="9">
        <v>0</v>
      </c>
      <c r="X180" s="9">
        <v>0</v>
      </c>
    </row>
    <row r="181">
      <c r="A181" s="0" t="inlineStr">
        <is>
          <t xml:space="preserve">VG-012</t>
        </is>
      </c>
      <c r="B181" s="23">
        <v>3</v>
      </c>
      <c r="C181" s="9">
        <v>3529632206.2690663</v>
      </c>
      <c r="D181" s="9">
        <v>448672500</v>
      </c>
      <c r="E181" s="9">
        <v>1552608175.5050504</v>
      </c>
      <c r="F181" s="9">
        <v>1528351530.764016</v>
      </c>
      <c r="G181" s="9">
        <v>0</v>
      </c>
      <c r="H181" s="9">
        <v>0</v>
      </c>
      <c r="I181" s="9">
        <v>305670306.1528032</v>
      </c>
      <c r="J181" s="9">
        <v>290106756.6796493</v>
      </c>
      <c r="K181" s="9">
        <v>1428955.1177315116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0" t="inlineStr">
        <is>
          <t xml:space="preserve">ZERO_RESIDUAL_NO_SALE</t>
        </is>
      </c>
      <c r="U181" s="9">
        <v>2773860444.998532</v>
      </c>
      <c r="V181" s="9">
        <v>0</v>
      </c>
      <c r="W181" s="9">
        <v>0</v>
      </c>
      <c r="X181" s="9">
        <v>0</v>
      </c>
    </row>
    <row r="182">
      <c r="A182" s="0" t="inlineStr">
        <is>
          <t xml:space="preserve">VG-012</t>
        </is>
      </c>
      <c r="B182" s="23">
        <v>4</v>
      </c>
      <c r="C182" s="9">
        <v>3547103885.6900983</v>
      </c>
      <c r="D182" s="9">
        <v>457645950.00000006</v>
      </c>
      <c r="E182" s="9">
        <v>1552608175.5050504</v>
      </c>
      <c r="F182" s="9">
        <v>1536849760.1850479</v>
      </c>
      <c r="G182" s="9">
        <v>0</v>
      </c>
      <c r="H182" s="9">
        <v>0</v>
      </c>
      <c r="I182" s="9">
        <v>307369952.0370096</v>
      </c>
      <c r="J182" s="9">
        <v>291542785.12521356</v>
      </c>
      <c r="K182" s="9">
        <v>1436028.44556427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0" t="inlineStr">
        <is>
          <t xml:space="preserve">ZERO_RESIDUAL_NO_SALE</t>
        </is>
      </c>
      <c r="U182" s="9">
        <v>2780651955.2075243</v>
      </c>
      <c r="V182" s="9">
        <v>0</v>
      </c>
      <c r="W182" s="9">
        <v>0</v>
      </c>
      <c r="X182" s="9">
        <v>0</v>
      </c>
    </row>
    <row r="183">
      <c r="A183" s="0" t="inlineStr">
        <is>
          <t xml:space="preserve">VG-012</t>
        </is>
      </c>
      <c r="B183" s="23">
        <v>5</v>
      </c>
      <c r="C183" s="9">
        <v>3564662049.924264</v>
      </c>
      <c r="D183" s="9">
        <v>466798869</v>
      </c>
      <c r="E183" s="9">
        <v>1552608175.5050504</v>
      </c>
      <c r="F183" s="9">
        <v>1545255005.4192135</v>
      </c>
      <c r="G183" s="9">
        <v>0</v>
      </c>
      <c r="H183" s="9">
        <v>0</v>
      </c>
      <c r="I183" s="9">
        <v>309051001.0838427</v>
      </c>
      <c r="J183" s="9">
        <v>292985921.91158336</v>
      </c>
      <c r="K183" s="9">
        <v>1443136.7863698006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116445613.16287878</v>
      </c>
      <c r="R183" s="9">
        <v>0</v>
      </c>
      <c r="S183" s="9">
        <v>0</v>
      </c>
      <c r="T183" s="0" t="inlineStr">
        <is>
          <t xml:space="preserve">ZERO_RESIDUAL_NO_SALE</t>
        </is>
      </c>
      <c r="U183" s="9">
        <v>2670923429.8911724</v>
      </c>
      <c r="V183" s="9">
        <v>0</v>
      </c>
      <c r="W183" s="9">
        <v>0</v>
      </c>
      <c r="X183" s="9">
        <v>0</v>
      </c>
    </row>
    <row r="184">
      <c r="A184" s="0" t="inlineStr">
        <is>
          <t xml:space="preserve">VG-012</t>
        </is>
      </c>
      <c r="B184" s="23">
        <v>6</v>
      </c>
      <c r="C184" s="9">
        <v>3582307127.071389</v>
      </c>
      <c r="D184" s="9">
        <v>476134846.38</v>
      </c>
      <c r="E184" s="9">
        <v>1552608175.5050504</v>
      </c>
      <c r="F184" s="9">
        <v>1553564105.1863387</v>
      </c>
      <c r="G184" s="9">
        <v>0</v>
      </c>
      <c r="H184" s="9">
        <v>0</v>
      </c>
      <c r="I184" s="9">
        <v>310712821.03726774</v>
      </c>
      <c r="J184" s="9">
        <v>294436202.2250457</v>
      </c>
      <c r="K184" s="9">
        <v>1450280.313462317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0" t="inlineStr">
        <is>
          <t xml:space="preserve">ZERO_RESIDUAL_NO_SALE</t>
        </is>
      </c>
      <c r="U184" s="9">
        <v>2794009179.340659</v>
      </c>
      <c r="V184" s="9">
        <v>0</v>
      </c>
      <c r="W184" s="9">
        <v>0</v>
      </c>
      <c r="X184" s="9">
        <v>0</v>
      </c>
    </row>
    <row r="185">
      <c r="A185" s="0" t="inlineStr">
        <is>
          <t xml:space="preserve">VG-012</t>
        </is>
      </c>
      <c r="B185" s="23">
        <v>7</v>
      </c>
      <c r="C185" s="9">
        <v>3600039547.350393</v>
      </c>
      <c r="D185" s="9">
        <v>485657543.3076</v>
      </c>
      <c r="E185" s="9">
        <v>1552608175.5050504</v>
      </c>
      <c r="F185" s="9">
        <v>1561773828.5377424</v>
      </c>
      <c r="G185" s="9">
        <v>0</v>
      </c>
      <c r="H185" s="9">
        <v>0</v>
      </c>
      <c r="I185" s="9">
        <v>312354765.7075485</v>
      </c>
      <c r="J185" s="9">
        <v>295893661.42605966</v>
      </c>
      <c r="K185" s="9">
        <v>1457459.2010139823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0" t="inlineStr">
        <is>
          <t xml:space="preserve">ZERO_RESIDUAL_NO_SALE</t>
        </is>
      </c>
      <c r="U185" s="9">
        <v>2800569779.13423</v>
      </c>
      <c r="V185" s="9">
        <v>0</v>
      </c>
      <c r="W185" s="9">
        <v>0</v>
      </c>
      <c r="X185" s="9">
        <v>0</v>
      </c>
    </row>
    <row r="186">
      <c r="A186" s="0" t="inlineStr">
        <is>
          <t xml:space="preserve">VG-012</t>
        </is>
      </c>
      <c r="B186" s="23">
        <v>8</v>
      </c>
      <c r="C186" s="9">
        <v>3617859743.109777</v>
      </c>
      <c r="D186" s="9">
        <v>495370694.173752</v>
      </c>
      <c r="E186" s="9">
        <v>1552608175.5050504</v>
      </c>
      <c r="F186" s="9">
        <v>1569880873.4309747</v>
      </c>
      <c r="G186" s="9">
        <v>0</v>
      </c>
      <c r="H186" s="9">
        <v>0</v>
      </c>
      <c r="I186" s="9">
        <v>313976174.68619496</v>
      </c>
      <c r="J186" s="9">
        <v>297358335.0501186</v>
      </c>
      <c r="K186" s="9">
        <v>1464673.6240589619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0" t="inlineStr">
        <is>
          <t xml:space="preserve">ZERO_RESIDUAL_NO_SALE</t>
        </is>
      </c>
      <c r="U186" s="9">
        <v>2807048200.6257715</v>
      </c>
      <c r="V186" s="9">
        <v>0</v>
      </c>
      <c r="W186" s="9">
        <v>0</v>
      </c>
      <c r="X186" s="9">
        <v>0</v>
      </c>
    </row>
    <row r="187">
      <c r="A187" s="0" t="inlineStr">
        <is>
          <t xml:space="preserve">VG-012</t>
        </is>
      </c>
      <c r="B187" s="23">
        <v>9</v>
      </c>
      <c r="C187" s="9">
        <v>3635768148.8381705</v>
      </c>
      <c r="D187" s="9">
        <v>505278108.0572271</v>
      </c>
      <c r="E187" s="9">
        <v>1552608175.5050504</v>
      </c>
      <c r="F187" s="9">
        <v>1577881865.275893</v>
      </c>
      <c r="G187" s="9">
        <v>0</v>
      </c>
      <c r="H187" s="9">
        <v>0</v>
      </c>
      <c r="I187" s="9">
        <v>315576373.0551786</v>
      </c>
      <c r="J187" s="9">
        <v>298830258.80861676</v>
      </c>
      <c r="K187" s="9">
        <v>1471923.7584981322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0" t="inlineStr">
        <is>
          <t xml:space="preserve">ZERO_RESIDUAL_NO_SALE</t>
        </is>
      </c>
      <c r="U187" s="9">
        <v>2813441743.9672666</v>
      </c>
      <c r="V187" s="9">
        <v>0</v>
      </c>
      <c r="W187" s="9">
        <v>0</v>
      </c>
      <c r="X187" s="9">
        <v>0</v>
      </c>
    </row>
    <row r="188">
      <c r="A188" s="0" t="inlineStr">
        <is>
          <t xml:space="preserve">VG-012</t>
        </is>
      </c>
      <c r="B188" s="23">
        <v>10</v>
      </c>
      <c r="C188" s="9">
        <v>3653765201.174919</v>
      </c>
      <c r="D188" s="9">
        <v>515383670.2183716</v>
      </c>
      <c r="E188" s="9">
        <v>1552608175.5050504</v>
      </c>
      <c r="F188" s="9">
        <v>1585773355.4514973</v>
      </c>
      <c r="G188" s="9">
        <v>0</v>
      </c>
      <c r="H188" s="9">
        <v>0</v>
      </c>
      <c r="I188" s="9">
        <v>317154671.0902995</v>
      </c>
      <c r="J188" s="9">
        <v>300309468.58971936</v>
      </c>
      <c r="K188" s="9">
        <v>1479209.7811025977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116445613.16287878</v>
      </c>
      <c r="R188" s="9">
        <v>0</v>
      </c>
      <c r="S188" s="9">
        <v>0</v>
      </c>
      <c r="T188" s="0" t="inlineStr">
        <is>
          <t xml:space="preserve">ZERO_RESIDUAL_NO_SALE</t>
        </is>
      </c>
      <c r="U188" s="9">
        <v>2703302036.9222665</v>
      </c>
      <c r="V188" s="9">
        <v>0</v>
      </c>
      <c r="W188" s="9">
        <v>0</v>
      </c>
      <c r="X188" s="9">
        <v>0</v>
      </c>
    </row>
    <row r="189">
      <c r="A189" s="0" t="inlineStr">
        <is>
          <t xml:space="preserve">VG-012</t>
        </is>
      </c>
      <c r="B189" s="23">
        <v>11</v>
      </c>
      <c r="C189" s="9">
        <v>3671851338.920735</v>
      </c>
      <c r="D189" s="9">
        <v>525691343.6227391</v>
      </c>
      <c r="E189" s="9">
        <v>1552608175.5050504</v>
      </c>
      <c r="F189" s="9">
        <v>1593551819.7929451</v>
      </c>
      <c r="G189" s="9">
        <v>0</v>
      </c>
      <c r="H189" s="9">
        <v>0</v>
      </c>
      <c r="I189" s="9">
        <v>318710363.958589</v>
      </c>
      <c r="J189" s="9">
        <v>301796000.45923847</v>
      </c>
      <c r="K189" s="9">
        <v>1486531.8695191145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0" t="inlineStr">
        <is>
          <t xml:space="preserve">ZERO_RESIDUAL_NO_SALE</t>
        </is>
      </c>
      <c r="U189" s="9">
        <v>2825963099.4698873</v>
      </c>
      <c r="V189" s="9">
        <v>0</v>
      </c>
      <c r="W189" s="9">
        <v>0</v>
      </c>
      <c r="X189" s="9">
        <v>0</v>
      </c>
    </row>
    <row r="190">
      <c r="A190" s="0" t="inlineStr">
        <is>
          <t xml:space="preserve">VG-012</t>
        </is>
      </c>
      <c r="B190" s="23">
        <v>12</v>
      </c>
      <c r="C190" s="9">
        <v>3690027003.0483923</v>
      </c>
      <c r="D190" s="9">
        <v>536205170.4951939</v>
      </c>
      <c r="E190" s="9">
        <v>1552608175.5050504</v>
      </c>
      <c r="F190" s="9">
        <v>1601213657.048148</v>
      </c>
      <c r="G190" s="9">
        <v>0</v>
      </c>
      <c r="H190" s="9">
        <v>0</v>
      </c>
      <c r="I190" s="9">
        <v>320242731.4096296</v>
      </c>
      <c r="J190" s="9">
        <v>303289890.6615117</v>
      </c>
      <c r="K190" s="9">
        <v>1493890.2022732496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>
        <v>0</v>
      </c>
      <c r="T190" s="0" t="inlineStr">
        <is>
          <t xml:space="preserve">ZERO_RESIDUAL_NO_SALE</t>
        </is>
      </c>
      <c r="U190" s="9">
        <v>2832085210.9412956</v>
      </c>
      <c r="V190" s="9">
        <v>0</v>
      </c>
      <c r="W190" s="9">
        <v>0</v>
      </c>
      <c r="X190" s="9">
        <v>0</v>
      </c>
    </row>
    <row r="191">
      <c r="A191" s="0" t="inlineStr">
        <is>
          <t xml:space="preserve">VG-012</t>
        </is>
      </c>
      <c r="B191" s="23">
        <v>13</v>
      </c>
      <c r="C191" s="9">
        <v>3708292636.713482</v>
      </c>
      <c r="D191" s="9">
        <v>546929273.9050977</v>
      </c>
      <c r="E191" s="9">
        <v>1552608175.5050504</v>
      </c>
      <c r="F191" s="9">
        <v>1608755187.3033335</v>
      </c>
      <c r="G191" s="9">
        <v>0</v>
      </c>
      <c r="H191" s="9">
        <v>0</v>
      </c>
      <c r="I191" s="9">
        <v>321751037.4606667</v>
      </c>
      <c r="J191" s="9">
        <v>304791175.62028617</v>
      </c>
      <c r="K191" s="9">
        <v>1501284.9587744474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0" t="inlineStr">
        <is>
          <t xml:space="preserve">ZERO_RESIDUAL_NO_SALE</t>
        </is>
      </c>
      <c r="U191" s="9">
        <v>2838111040.3889427</v>
      </c>
      <c r="V191" s="9">
        <v>0</v>
      </c>
      <c r="W191" s="9">
        <v>0</v>
      </c>
      <c r="X191" s="9">
        <v>0</v>
      </c>
    </row>
    <row r="192">
      <c r="A192" s="0" t="inlineStr">
        <is>
          <t xml:space="preserve">VG-012</t>
        </is>
      </c>
      <c r="B192" s="23">
        <v>14</v>
      </c>
      <c r="C192" s="9">
        <v>3726648685.2652144</v>
      </c>
      <c r="D192" s="9">
        <v>557867859.3831998</v>
      </c>
      <c r="E192" s="9">
        <v>1552608175.5050504</v>
      </c>
      <c r="F192" s="9">
        <v>1616172650.3769643</v>
      </c>
      <c r="G192" s="9">
        <v>0</v>
      </c>
      <c r="H192" s="9">
        <v>0</v>
      </c>
      <c r="I192" s="9">
        <v>323234530.0753929</v>
      </c>
      <c r="J192" s="9">
        <v>306299891.93960667</v>
      </c>
      <c r="K192" s="9">
        <v>1508716.3193205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>
        <v>0</v>
      </c>
      <c r="T192" s="0" t="inlineStr">
        <is>
          <t xml:space="preserve">ZERO_RESIDUAL_NO_SALE</t>
        </is>
      </c>
      <c r="U192" s="9">
        <v>2844037579.4873013</v>
      </c>
      <c r="V192" s="9">
        <v>0</v>
      </c>
      <c r="W192" s="9">
        <v>0</v>
      </c>
      <c r="X192" s="9">
        <v>0</v>
      </c>
    </row>
    <row r="193">
      <c r="A193" s="0" t="inlineStr">
        <is>
          <t xml:space="preserve">VG-012</t>
        </is>
      </c>
      <c r="B193" s="23">
        <v>15</v>
      </c>
      <c r="C193" s="9">
        <v>3745095596.2572775</v>
      </c>
      <c r="D193" s="9">
        <v>569025216.5708637</v>
      </c>
      <c r="E193" s="9">
        <v>1552608175.5050504</v>
      </c>
      <c r="F193" s="9">
        <v>1623462204.1813633</v>
      </c>
      <c r="G193" s="9">
        <v>0</v>
      </c>
      <c r="H193" s="9">
        <v>0</v>
      </c>
      <c r="I193" s="9">
        <v>324692440.8362727</v>
      </c>
      <c r="J193" s="9">
        <v>0</v>
      </c>
      <c r="K193" s="9">
        <v>-306299891.93960667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306299891.93960667</v>
      </c>
      <c r="T193" s="0" t="inlineStr">
        <is>
          <t xml:space="preserve">ZERO_RESIDUAL_NO_SALE</t>
        </is>
      </c>
      <c r="U193" s="9">
        <v>3157677830.7897477</v>
      </c>
      <c r="V193" s="9">
        <v>0</v>
      </c>
      <c r="W193" s="9">
        <v>0</v>
      </c>
      <c r="X193" s="9">
        <v>0</v>
      </c>
    </row>
    <row r="194">
      <c r="A194" s="0" t="inlineStr">
        <is>
          <t xml:space="preserve">VG-013</t>
        </is>
      </c>
      <c r="B194" s="23">
        <v>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23292390625</v>
      </c>
      <c r="M194" s="9">
        <v>21263981534.090908</v>
      </c>
      <c r="N194" s="9">
        <v>2028409090.909093</v>
      </c>
      <c r="O194" s="9">
        <v>22312500000</v>
      </c>
      <c r="P194" s="9">
        <v>979890625.0000001</v>
      </c>
      <c r="Q194" s="9">
        <v>0</v>
      </c>
      <c r="R194" s="9">
        <v>0</v>
      </c>
      <c r="S194" s="9">
        <v>0</v>
      </c>
      <c r="T194" s="0" t="inlineStr">
        <is>
          <t xml:space="preserve">ZERO_RESIDUAL_NO_SALE</t>
        </is>
      </c>
      <c r="U194" s="9">
        <v>0</v>
      </c>
      <c r="V194" s="9">
        <v>23292390625</v>
      </c>
      <c r="W194" s="9">
        <v>23292390625</v>
      </c>
      <c r="X194" s="9">
        <v>0</v>
      </c>
    </row>
    <row r="195">
      <c r="A195" s="0" t="inlineStr">
        <is>
          <t xml:space="preserve">VG-013</t>
        </is>
      </c>
      <c r="B195" s="23">
        <v>1</v>
      </c>
      <c r="C195" s="9">
        <v>3173310210</v>
      </c>
      <c r="D195" s="9">
        <v>393750000</v>
      </c>
      <c r="E195" s="9">
        <v>1417598768.9393938</v>
      </c>
      <c r="F195" s="9">
        <v>1361961441.0606062</v>
      </c>
      <c r="G195" s="9">
        <v>0</v>
      </c>
      <c r="H195" s="9">
        <v>0</v>
      </c>
      <c r="I195" s="9">
        <v>272392288.21212125</v>
      </c>
      <c r="J195" s="9">
        <v>260820017.26027396</v>
      </c>
      <c r="K195" s="9">
        <v>260820017.26027396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>
        <v>0</v>
      </c>
      <c r="T195" s="0" t="inlineStr">
        <is>
          <t xml:space="preserve">ZERO_RESIDUAL_NO_SALE</t>
        </is>
      </c>
      <c r="U195" s="9">
        <v>2246347904.527605</v>
      </c>
      <c r="V195" s="9">
        <v>0</v>
      </c>
      <c r="W195" s="9">
        <v>0</v>
      </c>
      <c r="X195" s="9">
        <v>0</v>
      </c>
    </row>
    <row r="196">
      <c r="A196" s="0" t="inlineStr">
        <is>
          <t xml:space="preserve">VG-013</t>
        </is>
      </c>
      <c r="B196" s="23">
        <v>2</v>
      </c>
      <c r="C196" s="9">
        <v>3189018095.5394998</v>
      </c>
      <c r="D196" s="9">
        <v>401625000</v>
      </c>
      <c r="E196" s="9">
        <v>1417598768.9393938</v>
      </c>
      <c r="F196" s="9">
        <v>1369794326.600106</v>
      </c>
      <c r="G196" s="9">
        <v>0</v>
      </c>
      <c r="H196" s="9">
        <v>0</v>
      </c>
      <c r="I196" s="9">
        <v>273958865.3200212</v>
      </c>
      <c r="J196" s="9">
        <v>262111076.34571233</v>
      </c>
      <c r="K196" s="9">
        <v>1291059.0854383707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>
        <v>0</v>
      </c>
      <c r="T196" s="0" t="inlineStr">
        <is>
          <t xml:space="preserve">ZERO_RESIDUAL_NO_SALE</t>
        </is>
      </c>
      <c r="U196" s="9">
        <v>2512143171.1340404</v>
      </c>
      <c r="V196" s="9">
        <v>0</v>
      </c>
      <c r="W196" s="9">
        <v>0</v>
      </c>
      <c r="X196" s="9">
        <v>0</v>
      </c>
    </row>
    <row r="197">
      <c r="A197" s="0" t="inlineStr">
        <is>
          <t xml:space="preserve">VG-013</t>
        </is>
      </c>
      <c r="B197" s="23">
        <v>3</v>
      </c>
      <c r="C197" s="9">
        <v>3204803735.1124206</v>
      </c>
      <c r="D197" s="9">
        <v>409657500</v>
      </c>
      <c r="E197" s="9">
        <v>1417598768.9393938</v>
      </c>
      <c r="F197" s="9">
        <v>1377547466.1730268</v>
      </c>
      <c r="G197" s="9">
        <v>0</v>
      </c>
      <c r="H197" s="9">
        <v>0</v>
      </c>
      <c r="I197" s="9">
        <v>275509493.2346054</v>
      </c>
      <c r="J197" s="9">
        <v>263408526.17362362</v>
      </c>
      <c r="K197" s="9">
        <v>1297449.8279112875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>
        <v>0</v>
      </c>
      <c r="T197" s="0" t="inlineStr">
        <is>
          <t xml:space="preserve">ZERO_RESIDUAL_NO_SALE</t>
        </is>
      </c>
      <c r="U197" s="9">
        <v>2518339292.049904</v>
      </c>
      <c r="V197" s="9">
        <v>0</v>
      </c>
      <c r="W197" s="9">
        <v>0</v>
      </c>
      <c r="X197" s="9">
        <v>0</v>
      </c>
    </row>
    <row r="198">
      <c r="A198" s="0" t="inlineStr">
        <is>
          <t xml:space="preserve">VG-013</t>
        </is>
      </c>
      <c r="B198" s="23">
        <v>4</v>
      </c>
      <c r="C198" s="9">
        <v>3220667513.6012278</v>
      </c>
      <c r="D198" s="9">
        <v>417850650.00000006</v>
      </c>
      <c r="E198" s="9">
        <v>1417598768.9393938</v>
      </c>
      <c r="F198" s="9">
        <v>1385218094.661834</v>
      </c>
      <c r="G198" s="9">
        <v>0</v>
      </c>
      <c r="H198" s="9">
        <v>0</v>
      </c>
      <c r="I198" s="9">
        <v>277043618.9323668</v>
      </c>
      <c r="J198" s="9">
        <v>264712398.3781831</v>
      </c>
      <c r="K198" s="9">
        <v>1303872.2045594752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0</v>
      </c>
      <c r="S198" s="9">
        <v>0</v>
      </c>
      <c r="T198" s="0" t="inlineStr">
        <is>
          <t xml:space="preserve">ZERO_RESIDUAL_NO_SALE</t>
        </is>
      </c>
      <c r="U198" s="9">
        <v>2524469372.4643016</v>
      </c>
      <c r="V198" s="9">
        <v>0</v>
      </c>
      <c r="W198" s="9">
        <v>0</v>
      </c>
      <c r="X198" s="9">
        <v>0</v>
      </c>
    </row>
    <row r="199">
      <c r="A199" s="0" t="inlineStr">
        <is>
          <t xml:space="preserve">VG-013</t>
        </is>
      </c>
      <c r="B199" s="23">
        <v>5</v>
      </c>
      <c r="C199" s="9">
        <v>3236609817.793553</v>
      </c>
      <c r="D199" s="9">
        <v>426207663</v>
      </c>
      <c r="E199" s="9">
        <v>1417598768.9393938</v>
      </c>
      <c r="F199" s="9">
        <v>1392803385.854159</v>
      </c>
      <c r="G199" s="9">
        <v>0</v>
      </c>
      <c r="H199" s="9">
        <v>0</v>
      </c>
      <c r="I199" s="9">
        <v>278560677.17083186</v>
      </c>
      <c r="J199" s="9">
        <v>266022724.750155</v>
      </c>
      <c r="K199" s="9">
        <v>1310326.3719719052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106319907.67045455</v>
      </c>
      <c r="R199" s="9">
        <v>0</v>
      </c>
      <c r="S199" s="9">
        <v>0</v>
      </c>
      <c r="T199" s="0" t="inlineStr">
        <is>
          <t xml:space="preserve">ZERO_RESIDUAL_NO_SALE</t>
        </is>
      </c>
      <c r="U199" s="9">
        <v>2424211243.5802946</v>
      </c>
      <c r="V199" s="9">
        <v>0</v>
      </c>
      <c r="W199" s="9">
        <v>0</v>
      </c>
      <c r="X199" s="9">
        <v>0</v>
      </c>
    </row>
    <row r="200">
      <c r="A200" s="0" t="inlineStr">
        <is>
          <t xml:space="preserve">VG-013</t>
        </is>
      </c>
      <c r="B200" s="23">
        <v>6</v>
      </c>
      <c r="C200" s="9">
        <v>3252631036.391631</v>
      </c>
      <c r="D200" s="9">
        <v>434731816.26</v>
      </c>
      <c r="E200" s="9">
        <v>1417598768.9393938</v>
      </c>
      <c r="F200" s="9">
        <v>1400300451.1922371</v>
      </c>
      <c r="G200" s="9">
        <v>0</v>
      </c>
      <c r="H200" s="9">
        <v>0</v>
      </c>
      <c r="I200" s="9">
        <v>280060090.2384474</v>
      </c>
      <c r="J200" s="9">
        <v>267339537.2376683</v>
      </c>
      <c r="K200" s="9">
        <v>1316812.4875133038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>
        <v>0</v>
      </c>
      <c r="T200" s="0" t="inlineStr">
        <is>
          <t xml:space="preserve">ZERO_RESIDUAL_NO_SALE</t>
        </is>
      </c>
      <c r="U200" s="9">
        <v>2536522317.40567</v>
      </c>
      <c r="V200" s="9">
        <v>0</v>
      </c>
      <c r="W200" s="9">
        <v>0</v>
      </c>
      <c r="X200" s="9">
        <v>0</v>
      </c>
    </row>
    <row r="201">
      <c r="A201" s="0" t="inlineStr">
        <is>
          <t xml:space="preserve">VG-013</t>
        </is>
      </c>
      <c r="B201" s="23">
        <v>7</v>
      </c>
      <c r="C201" s="9">
        <v>3268731560.02177</v>
      </c>
      <c r="D201" s="9">
        <v>443426452.5852</v>
      </c>
      <c r="E201" s="9">
        <v>1417598768.9393938</v>
      </c>
      <c r="F201" s="9">
        <v>1407706338.4971764</v>
      </c>
      <c r="G201" s="9">
        <v>0</v>
      </c>
      <c r="H201" s="9">
        <v>0</v>
      </c>
      <c r="I201" s="9">
        <v>281541267.6994353</v>
      </c>
      <c r="J201" s="9">
        <v>268662867.94699484</v>
      </c>
      <c r="K201" s="9">
        <v>1323330.7093265355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0" t="inlineStr">
        <is>
          <t xml:space="preserve">ZERO_RESIDUAL_NO_SALE</t>
        </is>
      </c>
      <c r="U201" s="9">
        <v>2542440509.027808</v>
      </c>
      <c r="V201" s="9">
        <v>0</v>
      </c>
      <c r="W201" s="9">
        <v>0</v>
      </c>
      <c r="X201" s="9">
        <v>0</v>
      </c>
    </row>
    <row r="202">
      <c r="A202" s="0" t="inlineStr">
        <is>
          <t xml:space="preserve">VG-013</t>
        </is>
      </c>
      <c r="B202" s="23">
        <v>8</v>
      </c>
      <c r="C202" s="9">
        <v>3284911781.2438774</v>
      </c>
      <c r="D202" s="9">
        <v>452294981.636904</v>
      </c>
      <c r="E202" s="9">
        <v>1417598768.9393938</v>
      </c>
      <c r="F202" s="9">
        <v>1415018030.66758</v>
      </c>
      <c r="G202" s="9">
        <v>0</v>
      </c>
      <c r="H202" s="9">
        <v>0</v>
      </c>
      <c r="I202" s="9">
        <v>283003606.133516</v>
      </c>
      <c r="J202" s="9">
        <v>269992749.14333236</v>
      </c>
      <c r="K202" s="9">
        <v>1329881.196337521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0</v>
      </c>
      <c r="S202" s="9">
        <v>0</v>
      </c>
      <c r="T202" s="0" t="inlineStr">
        <is>
          <t xml:space="preserve">ZERO_RESIDUAL_NO_SALE</t>
        </is>
      </c>
      <c r="U202" s="9">
        <v>2548283312.27712</v>
      </c>
      <c r="V202" s="9">
        <v>0</v>
      </c>
      <c r="W202" s="9">
        <v>0</v>
      </c>
      <c r="X202" s="9">
        <v>0</v>
      </c>
    </row>
    <row r="203">
      <c r="A203" s="0" t="inlineStr">
        <is>
          <t xml:space="preserve">VG-013</t>
        </is>
      </c>
      <c r="B203" s="23">
        <v>9</v>
      </c>
      <c r="C203" s="9">
        <v>3301172094.5610347</v>
      </c>
      <c r="D203" s="9">
        <v>461340881.2696421</v>
      </c>
      <c r="E203" s="9">
        <v>1417598768.9393938</v>
      </c>
      <c r="F203" s="9">
        <v>1422232444.3519986</v>
      </c>
      <c r="G203" s="9">
        <v>0</v>
      </c>
      <c r="H203" s="9">
        <v>0</v>
      </c>
      <c r="I203" s="9">
        <v>284446488.8703997</v>
      </c>
      <c r="J203" s="9">
        <v>271329213.25159186</v>
      </c>
      <c r="K203" s="9">
        <v>1336464.108259499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0</v>
      </c>
      <c r="S203" s="9">
        <v>0</v>
      </c>
      <c r="T203" s="0" t="inlineStr">
        <is>
          <t xml:space="preserve">ZERO_RESIDUAL_NO_SALE</t>
        </is>
      </c>
      <c r="U203" s="9">
        <v>2554048260.312733</v>
      </c>
      <c r="V203" s="9">
        <v>0</v>
      </c>
      <c r="W203" s="9">
        <v>0</v>
      </c>
      <c r="X203" s="9">
        <v>0</v>
      </c>
    </row>
    <row r="204">
      <c r="A204" s="0" t="inlineStr">
        <is>
          <t xml:space="preserve">VG-013</t>
        </is>
      </c>
      <c r="B204" s="23">
        <v>10</v>
      </c>
      <c r="C204" s="9">
        <v>3317512896.4291115</v>
      </c>
      <c r="D204" s="9">
        <v>470567698.89503497</v>
      </c>
      <c r="E204" s="9">
        <v>1417598768.9393938</v>
      </c>
      <c r="F204" s="9">
        <v>1429346428.594683</v>
      </c>
      <c r="G204" s="9">
        <v>0</v>
      </c>
      <c r="H204" s="9">
        <v>0</v>
      </c>
      <c r="I204" s="9">
        <v>285869285.7189366</v>
      </c>
      <c r="J204" s="9">
        <v>272672292.8571873</v>
      </c>
      <c r="K204" s="9">
        <v>1343079.6055954099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106319907.67045455</v>
      </c>
      <c r="R204" s="9">
        <v>0</v>
      </c>
      <c r="S204" s="9">
        <v>0</v>
      </c>
      <c r="T204" s="0" t="inlineStr">
        <is>
          <t xml:space="preserve">ZERO_RESIDUAL_NO_SALE</t>
        </is>
      </c>
      <c r="U204" s="9">
        <v>2453412924.53909</v>
      </c>
      <c r="V204" s="9">
        <v>0</v>
      </c>
      <c r="W204" s="9">
        <v>0</v>
      </c>
      <c r="X204" s="9">
        <v>0</v>
      </c>
    </row>
    <row r="205">
      <c r="A205" s="0" t="inlineStr">
        <is>
          <t xml:space="preserve">VG-013</t>
        </is>
      </c>
      <c r="B205" s="23">
        <v>11</v>
      </c>
      <c r="C205" s="9">
        <v>3333934585.266436</v>
      </c>
      <c r="D205" s="9">
        <v>479979052.8729357</v>
      </c>
      <c r="E205" s="9">
        <v>1417598768.9393938</v>
      </c>
      <c r="F205" s="9">
        <v>1436356763.4541066</v>
      </c>
      <c r="G205" s="9">
        <v>0</v>
      </c>
      <c r="H205" s="9">
        <v>0</v>
      </c>
      <c r="I205" s="9">
        <v>287271352.69082135</v>
      </c>
      <c r="J205" s="9">
        <v>274022020.7068304</v>
      </c>
      <c r="K205" s="9">
        <v>1349727.8496431112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>
        <v>0</v>
      </c>
      <c r="T205" s="0" t="inlineStr">
        <is>
          <t xml:space="preserve">ZERO_RESIDUAL_NO_SALE</t>
        </is>
      </c>
      <c r="U205" s="9">
        <v>2565334451.853036</v>
      </c>
      <c r="V205" s="9">
        <v>0</v>
      </c>
      <c r="W205" s="9">
        <v>0</v>
      </c>
      <c r="X205" s="9">
        <v>0</v>
      </c>
    </row>
    <row r="206">
      <c r="A206" s="0" t="inlineStr">
        <is>
          <t xml:space="preserve">VG-013</t>
        </is>
      </c>
      <c r="B206" s="23">
        <v>12</v>
      </c>
      <c r="C206" s="9">
        <v>3350437561.4635043</v>
      </c>
      <c r="D206" s="9">
        <v>489578633.9303944</v>
      </c>
      <c r="E206" s="9">
        <v>1417598768.9393938</v>
      </c>
      <c r="F206" s="9">
        <v>1443260158.593716</v>
      </c>
      <c r="G206" s="9">
        <v>0</v>
      </c>
      <c r="H206" s="9">
        <v>0</v>
      </c>
      <c r="I206" s="9">
        <v>288652031.7187432</v>
      </c>
      <c r="J206" s="9">
        <v>275378429.7093291</v>
      </c>
      <c r="K206" s="9">
        <v>1356409.002498746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0" t="inlineStr">
        <is>
          <t xml:space="preserve">ZERO_RESIDUAL_NO_SALE</t>
        </is>
      </c>
      <c r="U206" s="9">
        <v>2570850486.8118677</v>
      </c>
      <c r="V206" s="9">
        <v>0</v>
      </c>
      <c r="W206" s="9">
        <v>0</v>
      </c>
      <c r="X206" s="9">
        <v>0</v>
      </c>
    </row>
    <row r="207">
      <c r="A207" s="0" t="inlineStr">
        <is>
          <t xml:space="preserve">VG-013</t>
        </is>
      </c>
      <c r="B207" s="23">
        <v>13</v>
      </c>
      <c r="C207" s="9">
        <v>3367022227.392749</v>
      </c>
      <c r="D207" s="9">
        <v>499370206.6090023</v>
      </c>
      <c r="E207" s="9">
        <v>1417598768.9393938</v>
      </c>
      <c r="F207" s="9">
        <v>1450053251.844353</v>
      </c>
      <c r="G207" s="9">
        <v>0</v>
      </c>
      <c r="H207" s="9">
        <v>0</v>
      </c>
      <c r="I207" s="9">
        <v>290010650.3688706</v>
      </c>
      <c r="J207" s="9">
        <v>276741552.93639034</v>
      </c>
      <c r="K207" s="9">
        <v>1363123.227061212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0" t="inlineStr">
        <is>
          <t xml:space="preserve">ZERO_RESIDUAL_NO_SALE</t>
        </is>
      </c>
      <c r="U207" s="9">
        <v>2576278247.1878147</v>
      </c>
      <c r="V207" s="9">
        <v>0</v>
      </c>
      <c r="W207" s="9">
        <v>0</v>
      </c>
      <c r="X207" s="9">
        <v>0</v>
      </c>
    </row>
    <row r="208">
      <c r="A208" s="0" t="inlineStr">
        <is>
          <t xml:space="preserve">VG-013</t>
        </is>
      </c>
      <c r="B208" s="23">
        <v>14</v>
      </c>
      <c r="C208" s="9">
        <v>3383688987.4183435</v>
      </c>
      <c r="D208" s="9">
        <v>509357610.7411824</v>
      </c>
      <c r="E208" s="9">
        <v>1417598768.9393938</v>
      </c>
      <c r="F208" s="9">
        <v>1456732607.7377675</v>
      </c>
      <c r="G208" s="9">
        <v>0</v>
      </c>
      <c r="H208" s="9">
        <v>0</v>
      </c>
      <c r="I208" s="9">
        <v>291346521.5475535</v>
      </c>
      <c r="J208" s="9">
        <v>278111423.6234255</v>
      </c>
      <c r="K208" s="9">
        <v>1369870.6870351434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0" t="inlineStr">
        <is>
          <t xml:space="preserve">ZERO_RESIDUAL_NO_SALE</t>
        </is>
      </c>
      <c r="U208" s="9">
        <v>2581614984.4425726</v>
      </c>
      <c r="V208" s="9">
        <v>0</v>
      </c>
      <c r="W208" s="9">
        <v>0</v>
      </c>
      <c r="X208" s="9">
        <v>0</v>
      </c>
    </row>
    <row r="209">
      <c r="A209" s="0" t="inlineStr">
        <is>
          <t xml:space="preserve">VG-013</t>
        </is>
      </c>
      <c r="B209" s="23">
        <v>15</v>
      </c>
      <c r="C209" s="9">
        <v>3400438247.906065</v>
      </c>
      <c r="D209" s="9">
        <v>519544762.956006</v>
      </c>
      <c r="E209" s="9">
        <v>1417598768.9393938</v>
      </c>
      <c r="F209" s="9">
        <v>1463294716.0106652</v>
      </c>
      <c r="G209" s="9">
        <v>0</v>
      </c>
      <c r="H209" s="9">
        <v>0</v>
      </c>
      <c r="I209" s="9">
        <v>292658943.20213306</v>
      </c>
      <c r="J209" s="9">
        <v>0</v>
      </c>
      <c r="K209" s="9">
        <v>-278111423.6234255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278111423.6234255</v>
      </c>
      <c r="T209" s="0" t="inlineStr">
        <is>
          <t xml:space="preserve">ZERO_RESIDUAL_NO_SALE</t>
        </is>
      </c>
      <c r="U209" s="9">
        <v>2866345965.3713512</v>
      </c>
      <c r="V209" s="9">
        <v>0</v>
      </c>
      <c r="W209" s="9">
        <v>0</v>
      </c>
      <c r="X209" s="9">
        <v>0</v>
      </c>
    </row>
    <row r="210">
      <c r="A210" s="0" t="inlineStr">
        <is>
          <t xml:space="preserve">VG-014</t>
        </is>
      </c>
      <c r="B210" s="23">
        <v>0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27729036458.333332</v>
      </c>
      <c r="M210" s="9">
        <v>25314263731.060604</v>
      </c>
      <c r="N210" s="9">
        <v>2414772727.272729</v>
      </c>
      <c r="O210" s="9">
        <v>26562500000</v>
      </c>
      <c r="P210" s="9">
        <v>1166536458.3333335</v>
      </c>
      <c r="Q210" s="9">
        <v>0</v>
      </c>
      <c r="R210" s="9">
        <v>0</v>
      </c>
      <c r="S210" s="9">
        <v>0</v>
      </c>
      <c r="T210" s="0" t="inlineStr">
        <is>
          <t xml:space="preserve">ZERO_RESIDUAL_NO_SALE</t>
        </is>
      </c>
      <c r="U210" s="9">
        <v>0</v>
      </c>
      <c r="V210" s="9">
        <v>27729036458.333332</v>
      </c>
      <c r="W210" s="9">
        <v>27729036458.333332</v>
      </c>
      <c r="X210" s="9">
        <v>0</v>
      </c>
    </row>
    <row r="211">
      <c r="A211" s="0" t="inlineStr">
        <is>
          <t xml:space="preserve">VG-014</t>
        </is>
      </c>
      <c r="B211" s="23">
        <v>1</v>
      </c>
      <c r="C211" s="9">
        <v>3735540750.000001</v>
      </c>
      <c r="D211" s="9">
        <v>468750000</v>
      </c>
      <c r="E211" s="9">
        <v>1687617582.0707068</v>
      </c>
      <c r="F211" s="9">
        <v>1579173167.929294</v>
      </c>
      <c r="G211" s="9">
        <v>0</v>
      </c>
      <c r="H211" s="9">
        <v>0</v>
      </c>
      <c r="I211" s="9">
        <v>315834633.5858588</v>
      </c>
      <c r="J211" s="9">
        <v>307030746.57534254</v>
      </c>
      <c r="K211" s="9">
        <v>307030746.57534254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0" t="inlineStr">
        <is>
          <t xml:space="preserve">ZERO_RESIDUAL_NO_SALE</t>
        </is>
      </c>
      <c r="U211" s="9">
        <v>2643925369.8387995</v>
      </c>
      <c r="V211" s="9">
        <v>0</v>
      </c>
      <c r="W211" s="9">
        <v>0</v>
      </c>
      <c r="X211" s="9">
        <v>0</v>
      </c>
    </row>
    <row r="212">
      <c r="A212" s="0" t="inlineStr">
        <is>
          <t xml:space="preserve">VG-014</t>
        </is>
      </c>
      <c r="B212" s="23">
        <v>2</v>
      </c>
      <c r="C212" s="9">
        <v>3754031676.712501</v>
      </c>
      <c r="D212" s="9">
        <v>478125000</v>
      </c>
      <c r="E212" s="9">
        <v>1687617582.0707068</v>
      </c>
      <c r="F212" s="9">
        <v>1588289094.6417942</v>
      </c>
      <c r="G212" s="9">
        <v>0</v>
      </c>
      <c r="H212" s="9">
        <v>0</v>
      </c>
      <c r="I212" s="9">
        <v>317657818.92835885</v>
      </c>
      <c r="J212" s="9">
        <v>308550548.7708905</v>
      </c>
      <c r="K212" s="9">
        <v>1519802.1955479383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0" t="inlineStr">
        <is>
          <t xml:space="preserve">ZERO_RESIDUAL_NO_SALE</t>
        </is>
      </c>
      <c r="U212" s="9">
        <v>2956729055.588594</v>
      </c>
      <c r="V212" s="9">
        <v>0</v>
      </c>
      <c r="W212" s="9">
        <v>0</v>
      </c>
      <c r="X212" s="9">
        <v>0</v>
      </c>
    </row>
    <row r="213">
      <c r="A213" s="0" t="inlineStr">
        <is>
          <t xml:space="preserve">VG-014</t>
        </is>
      </c>
      <c r="B213" s="23">
        <v>3</v>
      </c>
      <c r="C213" s="9">
        <v>3772614133.5122275</v>
      </c>
      <c r="D213" s="9">
        <v>487687500</v>
      </c>
      <c r="E213" s="9">
        <v>1687617582.0707068</v>
      </c>
      <c r="F213" s="9">
        <v>1597309051.4415207</v>
      </c>
      <c r="G213" s="9">
        <v>0</v>
      </c>
      <c r="H213" s="9">
        <v>0</v>
      </c>
      <c r="I213" s="9">
        <v>319461810.28830415</v>
      </c>
      <c r="J213" s="9">
        <v>310077873.98730636</v>
      </c>
      <c r="K213" s="9">
        <v>1527325.216415882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0" t="inlineStr">
        <is>
          <t xml:space="preserve">ZERO_RESIDUAL_NO_SALE</t>
        </is>
      </c>
      <c r="U213" s="9">
        <v>2963937498.0075073</v>
      </c>
      <c r="V213" s="9">
        <v>0</v>
      </c>
      <c r="W213" s="9">
        <v>0</v>
      </c>
      <c r="X213" s="9">
        <v>0</v>
      </c>
    </row>
    <row r="214">
      <c r="A214" s="0" t="inlineStr">
        <is>
          <t xml:space="preserve">VG-014</t>
        </is>
      </c>
      <c r="B214" s="23">
        <v>4</v>
      </c>
      <c r="C214" s="9">
        <v>3791288573.4731135</v>
      </c>
      <c r="D214" s="9">
        <v>497441250.00000006</v>
      </c>
      <c r="E214" s="9">
        <v>1687617582.0707068</v>
      </c>
      <c r="F214" s="9">
        <v>1606229741.4024067</v>
      </c>
      <c r="G214" s="9">
        <v>0</v>
      </c>
      <c r="H214" s="9">
        <v>0</v>
      </c>
      <c r="I214" s="9">
        <v>321245948.28048134</v>
      </c>
      <c r="J214" s="9">
        <v>311612759.4635436</v>
      </c>
      <c r="K214" s="9">
        <v>1534885.4762372375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0" t="inlineStr">
        <is>
          <t xml:space="preserve">ZERO_RESIDUAL_NO_SALE</t>
        </is>
      </c>
      <c r="U214" s="9">
        <v>2971066489.716395</v>
      </c>
      <c r="V214" s="9">
        <v>0</v>
      </c>
      <c r="W214" s="9">
        <v>0</v>
      </c>
      <c r="X214" s="9">
        <v>0</v>
      </c>
    </row>
    <row r="215">
      <c r="A215" s="0" t="inlineStr">
        <is>
          <t xml:space="preserve">VG-014</t>
        </is>
      </c>
      <c r="B215" s="23">
        <v>5</v>
      </c>
      <c r="C215" s="9">
        <v>3810055451.911805</v>
      </c>
      <c r="D215" s="9">
        <v>507390075</v>
      </c>
      <c r="E215" s="9">
        <v>1687617582.0707068</v>
      </c>
      <c r="F215" s="9">
        <v>1615047794.8410983</v>
      </c>
      <c r="G215" s="9">
        <v>0</v>
      </c>
      <c r="H215" s="9">
        <v>0</v>
      </c>
      <c r="I215" s="9">
        <v>323009558.9682197</v>
      </c>
      <c r="J215" s="9">
        <v>313155242.6228881</v>
      </c>
      <c r="K215" s="9">
        <v>1542483.1593444943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126571318.65530302</v>
      </c>
      <c r="R215" s="9">
        <v>0</v>
      </c>
      <c r="S215" s="9">
        <v>0</v>
      </c>
      <c r="T215" s="0" t="inlineStr">
        <is>
          <t xml:space="preserve">ZERO_RESIDUAL_NO_SALE</t>
        </is>
      </c>
      <c r="U215" s="9">
        <v>2851542016.1289377</v>
      </c>
      <c r="V215" s="9">
        <v>0</v>
      </c>
      <c r="W215" s="9">
        <v>0</v>
      </c>
      <c r="X215" s="9">
        <v>0</v>
      </c>
    </row>
    <row r="216">
      <c r="A216" s="0" t="inlineStr">
        <is>
          <t xml:space="preserve">VG-014</t>
        </is>
      </c>
      <c r="B216" s="23">
        <v>6</v>
      </c>
      <c r="C216" s="9">
        <v>3828915226.3987694</v>
      </c>
      <c r="D216" s="9">
        <v>517537876.5</v>
      </c>
      <c r="E216" s="9">
        <v>1687617582.0707068</v>
      </c>
      <c r="F216" s="9">
        <v>1623759767.8280625</v>
      </c>
      <c r="G216" s="9">
        <v>0</v>
      </c>
      <c r="H216" s="9">
        <v>0</v>
      </c>
      <c r="I216" s="9">
        <v>324751953.56561255</v>
      </c>
      <c r="J216" s="9">
        <v>314705361.07387143</v>
      </c>
      <c r="K216" s="9">
        <v>1550118.4509833455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0" t="inlineStr">
        <is>
          <t xml:space="preserve">ZERO_RESIDUAL_NO_SALE</t>
        </is>
      </c>
      <c r="U216" s="9">
        <v>2985075277.882173</v>
      </c>
      <c r="V216" s="9">
        <v>0</v>
      </c>
      <c r="W216" s="9">
        <v>0</v>
      </c>
      <c r="X216" s="9">
        <v>0</v>
      </c>
    </row>
    <row r="217">
      <c r="A217" s="0" t="inlineStr">
        <is>
          <t xml:space="preserve">VG-014</t>
        </is>
      </c>
      <c r="B217" s="23">
        <v>7</v>
      </c>
      <c r="C217" s="9">
        <v>3847868356.769443</v>
      </c>
      <c r="D217" s="9">
        <v>527888634.03000003</v>
      </c>
      <c r="E217" s="9">
        <v>1687617582.0707068</v>
      </c>
      <c r="F217" s="9">
        <v>1632362140.668736</v>
      </c>
      <c r="G217" s="9">
        <v>0</v>
      </c>
      <c r="H217" s="9">
        <v>0</v>
      </c>
      <c r="I217" s="9">
        <v>326472428.1337472</v>
      </c>
      <c r="J217" s="9">
        <v>316263152.6111871</v>
      </c>
      <c r="K217" s="9">
        <v>1557791.5373156667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0" t="inlineStr">
        <is>
          <t xml:space="preserve">ZERO_RESIDUAL_NO_SALE</t>
        </is>
      </c>
      <c r="U217" s="9">
        <v>2991949503.06838</v>
      </c>
      <c r="V217" s="9">
        <v>0</v>
      </c>
      <c r="W217" s="9">
        <v>0</v>
      </c>
      <c r="X217" s="9">
        <v>0</v>
      </c>
    </row>
    <row r="218">
      <c r="A218" s="0" t="inlineStr">
        <is>
          <t xml:space="preserve">VG-014</t>
        </is>
      </c>
      <c r="B218" s="23">
        <v>8</v>
      </c>
      <c r="C218" s="9">
        <v>3866915305.1354513</v>
      </c>
      <c r="D218" s="9">
        <v>538446406.7106</v>
      </c>
      <c r="E218" s="9">
        <v>1687617582.0707068</v>
      </c>
      <c r="F218" s="9">
        <v>1640851316.3541446</v>
      </c>
      <c r="G218" s="9">
        <v>0</v>
      </c>
      <c r="H218" s="9">
        <v>0</v>
      </c>
      <c r="I218" s="9">
        <v>328170263.27082896</v>
      </c>
      <c r="J218" s="9">
        <v>317828655.21661246</v>
      </c>
      <c r="K218" s="9">
        <v>1565502.6054253578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0" t="inlineStr">
        <is>
          <t xml:space="preserve">ZERO_RESIDUAL_NO_SALE</t>
        </is>
      </c>
      <c r="U218" s="9">
        <v>2998733132.548597</v>
      </c>
      <c r="V218" s="9">
        <v>0</v>
      </c>
      <c r="W218" s="9">
        <v>0</v>
      </c>
      <c r="X218" s="9">
        <v>0</v>
      </c>
    </row>
    <row r="219">
      <c r="A219" s="0" t="inlineStr">
        <is>
          <t xml:space="preserve">VG-014</t>
        </is>
      </c>
      <c r="B219" s="23">
        <v>9</v>
      </c>
      <c r="C219" s="9">
        <v>3886056535.8958716</v>
      </c>
      <c r="D219" s="9">
        <v>549215334.844812</v>
      </c>
      <c r="E219" s="9">
        <v>1687617582.0707068</v>
      </c>
      <c r="F219" s="9">
        <v>1649223618.9803529</v>
      </c>
      <c r="G219" s="9">
        <v>0</v>
      </c>
      <c r="H219" s="9">
        <v>0</v>
      </c>
      <c r="I219" s="9">
        <v>329844723.7960706</v>
      </c>
      <c r="J219" s="9">
        <v>319401907.0599346</v>
      </c>
      <c r="K219" s="9">
        <v>1573251.8433221579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0" t="inlineStr">
        <is>
          <t xml:space="preserve">ZERO_RESIDUAL_NO_SALE</t>
        </is>
      </c>
      <c r="U219" s="9">
        <v>3005423225.411667</v>
      </c>
      <c r="V219" s="9">
        <v>0</v>
      </c>
      <c r="W219" s="9">
        <v>0</v>
      </c>
      <c r="X219" s="9">
        <v>0</v>
      </c>
    </row>
    <row r="220">
      <c r="A220" s="0" t="inlineStr">
        <is>
          <t xml:space="preserve">VG-014</t>
        </is>
      </c>
      <c r="B220" s="23">
        <v>10</v>
      </c>
      <c r="C220" s="9">
        <v>3905292515.7485566</v>
      </c>
      <c r="D220" s="9">
        <v>560199641.5417084</v>
      </c>
      <c r="E220" s="9">
        <v>1687617582.0707068</v>
      </c>
      <c r="F220" s="9">
        <v>1657475292.1361413</v>
      </c>
      <c r="G220" s="9">
        <v>0</v>
      </c>
      <c r="H220" s="9">
        <v>0</v>
      </c>
      <c r="I220" s="9">
        <v>331495058.4272283</v>
      </c>
      <c r="J220" s="9">
        <v>320982946.4998814</v>
      </c>
      <c r="K220" s="9">
        <v>1581039.4399467707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126571318.65530302</v>
      </c>
      <c r="R220" s="9">
        <v>0</v>
      </c>
      <c r="S220" s="9">
        <v>0</v>
      </c>
      <c r="T220" s="0" t="inlineStr">
        <is>
          <t xml:space="preserve">ZERO_RESIDUAL_NO_SALE</t>
        </is>
      </c>
      <c r="U220" s="9">
        <v>2885445457.68437</v>
      </c>
      <c r="V220" s="9">
        <v>0</v>
      </c>
      <c r="W220" s="9">
        <v>0</v>
      </c>
      <c r="X220" s="9">
        <v>0</v>
      </c>
    </row>
    <row r="221">
      <c r="A221" s="0" t="inlineStr">
        <is>
          <t xml:space="preserve">VG-014</t>
        </is>
      </c>
      <c r="B221" s="23">
        <v>11</v>
      </c>
      <c r="C221" s="9">
        <v>3924623713.701511</v>
      </c>
      <c r="D221" s="9">
        <v>571403634.3725425</v>
      </c>
      <c r="E221" s="9">
        <v>1687617582.0707068</v>
      </c>
      <c r="F221" s="9">
        <v>1665602497.2582617</v>
      </c>
      <c r="G221" s="9">
        <v>0</v>
      </c>
      <c r="H221" s="9">
        <v>0</v>
      </c>
      <c r="I221" s="9">
        <v>333120499.45165235</v>
      </c>
      <c r="J221" s="9">
        <v>322571812.0850557</v>
      </c>
      <c r="K221" s="9">
        <v>1588865.5851743221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0" t="inlineStr">
        <is>
          <t xml:space="preserve">ZERO_RESIDUAL_NO_SALE</t>
        </is>
      </c>
      <c r="U221" s="9">
        <v>3018510714.292142</v>
      </c>
      <c r="V221" s="9">
        <v>0</v>
      </c>
      <c r="W221" s="9">
        <v>0</v>
      </c>
      <c r="X221" s="9">
        <v>0</v>
      </c>
    </row>
    <row r="222">
      <c r="A222" s="0" t="inlineStr">
        <is>
          <t xml:space="preserve">VG-014</t>
        </is>
      </c>
      <c r="B222" s="23">
        <v>12</v>
      </c>
      <c r="C222" s="9">
        <v>3944050601.084334</v>
      </c>
      <c r="D222" s="9">
        <v>582831707.0599934</v>
      </c>
      <c r="E222" s="9">
        <v>1687617582.0707068</v>
      </c>
      <c r="F222" s="9">
        <v>1673601311.9536338</v>
      </c>
      <c r="G222" s="9">
        <v>0</v>
      </c>
      <c r="H222" s="9">
        <v>0</v>
      </c>
      <c r="I222" s="9">
        <v>334720262.3907268</v>
      </c>
      <c r="J222" s="9">
        <v>324168542.55487674</v>
      </c>
      <c r="K222" s="9">
        <v>1596730.4698210359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0" t="inlineStr">
        <is>
          <t xml:space="preserve">ZERO_RESIDUAL_NO_SALE</t>
        </is>
      </c>
      <c r="U222" s="9">
        <v>3024901901.1637926</v>
      </c>
      <c r="V222" s="9">
        <v>0</v>
      </c>
      <c r="W222" s="9">
        <v>0</v>
      </c>
      <c r="X222" s="9">
        <v>0</v>
      </c>
    </row>
    <row r="223">
      <c r="A223" s="0" t="inlineStr">
        <is>
          <t xml:space="preserve">VG-014</t>
        </is>
      </c>
      <c r="B223" s="23">
        <v>13</v>
      </c>
      <c r="C223" s="9">
        <v>3963573651.559701</v>
      </c>
      <c r="D223" s="9">
        <v>594488341.2011932</v>
      </c>
      <c r="E223" s="9">
        <v>1687617582.0707068</v>
      </c>
      <c r="F223" s="9">
        <v>1681467728.2878008</v>
      </c>
      <c r="G223" s="9">
        <v>0</v>
      </c>
      <c r="H223" s="9">
        <v>0</v>
      </c>
      <c r="I223" s="9">
        <v>336293545.65756017</v>
      </c>
      <c r="J223" s="9">
        <v>325773176.84052336</v>
      </c>
      <c r="K223" s="9">
        <v>1604634.2856466174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0" t="inlineStr">
        <is>
          <t xml:space="preserve">ZERO_RESIDUAL_NO_SALE</t>
        </is>
      </c>
      <c r="U223" s="9">
        <v>3031187130.415301</v>
      </c>
      <c r="V223" s="9">
        <v>0</v>
      </c>
      <c r="W223" s="9">
        <v>0</v>
      </c>
      <c r="X223" s="9">
        <v>0</v>
      </c>
    </row>
    <row r="224">
      <c r="A224" s="0" t="inlineStr">
        <is>
          <t xml:space="preserve">VG-014</t>
        </is>
      </c>
      <c r="B224" s="23">
        <v>14</v>
      </c>
      <c r="C224" s="9">
        <v>3983193341.1349225</v>
      </c>
      <c r="D224" s="9">
        <v>606378108.0252172</v>
      </c>
      <c r="E224" s="9">
        <v>1687617582.0707068</v>
      </c>
      <c r="F224" s="9">
        <v>1689197651.0389986</v>
      </c>
      <c r="G224" s="9">
        <v>0</v>
      </c>
      <c r="H224" s="9">
        <v>0</v>
      </c>
      <c r="I224" s="9">
        <v>337839530.20779973</v>
      </c>
      <c r="J224" s="9">
        <v>327385754.065884</v>
      </c>
      <c r="K224" s="9">
        <v>1612577.225360632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0" t="inlineStr">
        <is>
          <t xml:space="preserve">ZERO_RESIDUAL_NO_SALE</t>
        </is>
      </c>
      <c r="U224" s="9">
        <v>3037363125.676545</v>
      </c>
      <c r="V224" s="9">
        <v>0</v>
      </c>
      <c r="W224" s="9">
        <v>0</v>
      </c>
      <c r="X224" s="9">
        <v>0</v>
      </c>
    </row>
    <row r="225">
      <c r="A225" s="0" t="inlineStr">
        <is>
          <t xml:space="preserve">VG-014</t>
        </is>
      </c>
      <c r="B225" s="23">
        <v>15</v>
      </c>
      <c r="C225" s="9">
        <v>4002910148.1735406</v>
      </c>
      <c r="D225" s="9">
        <v>618505670.1857214</v>
      </c>
      <c r="E225" s="9">
        <v>1687617582.0707068</v>
      </c>
      <c r="F225" s="9">
        <v>1696786895.9171124</v>
      </c>
      <c r="G225" s="9">
        <v>0</v>
      </c>
      <c r="H225" s="9">
        <v>0</v>
      </c>
      <c r="I225" s="9">
        <v>339357379.1834225</v>
      </c>
      <c r="J225" s="9">
        <v>0</v>
      </c>
      <c r="K225" s="9">
        <v>-327385754.065884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327385754.065884</v>
      </c>
      <c r="T225" s="0" t="inlineStr">
        <is>
          <t xml:space="preserve">ZERO_RESIDUAL_NO_SALE</t>
        </is>
      </c>
      <c r="U225" s="9">
        <v>3372432852.8702807</v>
      </c>
      <c r="V225" s="9">
        <v>0</v>
      </c>
      <c r="W225" s="9">
        <v>0</v>
      </c>
      <c r="X225" s="9">
        <v>0</v>
      </c>
    </row>
    <row r="226">
      <c r="A226" s="0" t="inlineStr">
        <is>
          <t xml:space="preserve">VG-015</t>
        </is>
      </c>
      <c r="B226" s="23">
        <v>0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26619875000</v>
      </c>
      <c r="M226" s="9">
        <v>24301693181.81818</v>
      </c>
      <c r="N226" s="9">
        <v>2318181818.181821</v>
      </c>
      <c r="O226" s="9">
        <v>25500000000</v>
      </c>
      <c r="P226" s="9">
        <v>1119875000</v>
      </c>
      <c r="Q226" s="9">
        <v>0</v>
      </c>
      <c r="R226" s="9">
        <v>0</v>
      </c>
      <c r="S226" s="9">
        <v>0</v>
      </c>
      <c r="T226" s="0" t="inlineStr">
        <is>
          <t xml:space="preserve">ZERO_RESIDUAL_NO_SALE</t>
        </is>
      </c>
      <c r="U226" s="9">
        <v>0</v>
      </c>
      <c r="V226" s="9">
        <v>26619875000</v>
      </c>
      <c r="W226" s="9">
        <v>26619875000</v>
      </c>
      <c r="X226" s="9">
        <v>0</v>
      </c>
    </row>
    <row r="227">
      <c r="A227" s="0" t="inlineStr">
        <is>
          <t xml:space="preserve">VG-015</t>
        </is>
      </c>
      <c r="B227" s="23">
        <v>1</v>
      </c>
      <c r="C227" s="9">
        <v>3606379680.0000005</v>
      </c>
      <c r="D227" s="9">
        <v>450000000</v>
      </c>
      <c r="E227" s="9">
        <v>1620112878.7878788</v>
      </c>
      <c r="F227" s="9">
        <v>1536266801.2121217</v>
      </c>
      <c r="G227" s="9">
        <v>0</v>
      </c>
      <c r="H227" s="9">
        <v>0</v>
      </c>
      <c r="I227" s="9">
        <v>307253360.24242437</v>
      </c>
      <c r="J227" s="9">
        <v>296414768.21917814</v>
      </c>
      <c r="K227" s="9">
        <v>296414768.21917814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0" t="inlineStr">
        <is>
          <t xml:space="preserve">ZERO_RESIDUAL_NO_SALE</t>
        </is>
      </c>
      <c r="U227" s="9">
        <v>2552711551.538398</v>
      </c>
      <c r="V227" s="9">
        <v>0</v>
      </c>
      <c r="W227" s="9">
        <v>0</v>
      </c>
      <c r="X227" s="9">
        <v>0</v>
      </c>
    </row>
    <row r="228">
      <c r="A228" s="0" t="inlineStr">
        <is>
          <t xml:space="preserve">VG-015</t>
        </is>
      </c>
      <c r="B228" s="23">
        <v>2</v>
      </c>
      <c r="C228" s="9">
        <v>3624231259.4160004</v>
      </c>
      <c r="D228" s="9">
        <v>459000000</v>
      </c>
      <c r="E228" s="9">
        <v>1620112878.7878788</v>
      </c>
      <c r="F228" s="9">
        <v>1545118380.6281216</v>
      </c>
      <c r="G228" s="9">
        <v>0</v>
      </c>
      <c r="H228" s="9">
        <v>0</v>
      </c>
      <c r="I228" s="9">
        <v>309023676.12562436</v>
      </c>
      <c r="J228" s="9">
        <v>297882021.32186306</v>
      </c>
      <c r="K228" s="9">
        <v>1467253.102684915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0" t="inlineStr">
        <is>
          <t xml:space="preserve">ZERO_RESIDUAL_NO_SALE</t>
        </is>
      </c>
      <c r="U228" s="9">
        <v>2854740330.187691</v>
      </c>
      <c r="V228" s="9">
        <v>0</v>
      </c>
      <c r="W228" s="9">
        <v>0</v>
      </c>
      <c r="X228" s="9">
        <v>0</v>
      </c>
    </row>
    <row r="229">
      <c r="A229" s="0" t="inlineStr">
        <is>
          <t xml:space="preserve">VG-015</t>
        </is>
      </c>
      <c r="B229" s="23">
        <v>3</v>
      </c>
      <c r="C229" s="9">
        <v>3642171204.1501102</v>
      </c>
      <c r="D229" s="9">
        <v>468180000</v>
      </c>
      <c r="E229" s="9">
        <v>1620112878.7878788</v>
      </c>
      <c r="F229" s="9">
        <v>1553878325.3622315</v>
      </c>
      <c r="G229" s="9">
        <v>0</v>
      </c>
      <c r="H229" s="9">
        <v>0</v>
      </c>
      <c r="I229" s="9">
        <v>310775665.0724463</v>
      </c>
      <c r="J229" s="9">
        <v>299356537.32740635</v>
      </c>
      <c r="K229" s="9">
        <v>1474516.0055432916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0" t="inlineStr">
        <is>
          <t xml:space="preserve">ZERO_RESIDUAL_NO_SALE</t>
        </is>
      </c>
      <c r="U229" s="9">
        <v>2861741023.0721207</v>
      </c>
      <c r="V229" s="9">
        <v>0</v>
      </c>
      <c r="W229" s="9">
        <v>0</v>
      </c>
      <c r="X229" s="9">
        <v>0</v>
      </c>
    </row>
    <row r="230">
      <c r="A230" s="0" t="inlineStr">
        <is>
          <t xml:space="preserve">VG-015</t>
        </is>
      </c>
      <c r="B230" s="23">
        <v>4</v>
      </c>
      <c r="C230" s="9">
        <v>3660199951.610654</v>
      </c>
      <c r="D230" s="9">
        <v>477543600.00000006</v>
      </c>
      <c r="E230" s="9">
        <v>1620112878.7878788</v>
      </c>
      <c r="F230" s="9">
        <v>1562543472.8227751</v>
      </c>
      <c r="G230" s="9">
        <v>0</v>
      </c>
      <c r="H230" s="9">
        <v>0</v>
      </c>
      <c r="I230" s="9">
        <v>312508694.56455505</v>
      </c>
      <c r="J230" s="9">
        <v>300838352.187177</v>
      </c>
      <c r="K230" s="9">
        <v>1481814.8597706556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0" t="inlineStr">
        <is>
          <t xml:space="preserve">ZERO_RESIDUAL_NO_SALE</t>
        </is>
      </c>
      <c r="U230" s="9">
        <v>2868665842.186328</v>
      </c>
      <c r="V230" s="9">
        <v>0</v>
      </c>
      <c r="W230" s="9">
        <v>0</v>
      </c>
      <c r="X230" s="9">
        <v>0</v>
      </c>
    </row>
    <row r="231">
      <c r="A231" s="0" t="inlineStr">
        <is>
          <t xml:space="preserve">VG-015</t>
        </is>
      </c>
      <c r="B231" s="23">
        <v>5</v>
      </c>
      <c r="C231" s="9">
        <v>3678317941.3711257</v>
      </c>
      <c r="D231" s="9">
        <v>487094472</v>
      </c>
      <c r="E231" s="9">
        <v>1620112878.7878788</v>
      </c>
      <c r="F231" s="9">
        <v>1571110590.583247</v>
      </c>
      <c r="G231" s="9">
        <v>0</v>
      </c>
      <c r="H231" s="9">
        <v>0</v>
      </c>
      <c r="I231" s="9">
        <v>314222118.1166494</v>
      </c>
      <c r="J231" s="9">
        <v>302327502.0305035</v>
      </c>
      <c r="K231" s="9">
        <v>1489149.843326509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121508465.9090909</v>
      </c>
      <c r="R231" s="9">
        <v>0</v>
      </c>
      <c r="S231" s="9">
        <v>0</v>
      </c>
      <c r="T231" s="0" t="inlineStr">
        <is>
          <t xml:space="preserve">ZERO_RESIDUAL_NO_SALE</t>
        </is>
      </c>
      <c r="U231" s="9">
        <v>2754003735.502059</v>
      </c>
      <c r="V231" s="9">
        <v>0</v>
      </c>
      <c r="W231" s="9">
        <v>0</v>
      </c>
      <c r="X231" s="9">
        <v>0</v>
      </c>
    </row>
    <row r="232">
      <c r="A232" s="0" t="inlineStr">
        <is>
          <t xml:space="preserve">VG-015</t>
        </is>
      </c>
      <c r="B232" s="23">
        <v>6</v>
      </c>
      <c r="C232" s="9">
        <v>3696525615.180913</v>
      </c>
      <c r="D232" s="9">
        <v>496836361.44</v>
      </c>
      <c r="E232" s="9">
        <v>1620112878.7878788</v>
      </c>
      <c r="F232" s="9">
        <v>1579576374.9530342</v>
      </c>
      <c r="G232" s="9">
        <v>0</v>
      </c>
      <c r="H232" s="9">
        <v>0</v>
      </c>
      <c r="I232" s="9">
        <v>315915274.99060684</v>
      </c>
      <c r="J232" s="9">
        <v>303824023.16555446</v>
      </c>
      <c r="K232" s="9">
        <v>1496521.1350509524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0" t="inlineStr">
        <is>
          <t xml:space="preserve">ZERO_RESIDUAL_NO_SALE</t>
        </is>
      </c>
      <c r="U232" s="9">
        <v>2882277457.6152554</v>
      </c>
      <c r="V232" s="9">
        <v>0</v>
      </c>
      <c r="W232" s="9">
        <v>0</v>
      </c>
      <c r="X232" s="9">
        <v>0</v>
      </c>
    </row>
    <row r="233">
      <c r="A233" s="0" t="inlineStr">
        <is>
          <t xml:space="preserve">VG-015</t>
        </is>
      </c>
      <c r="B233" s="23">
        <v>7</v>
      </c>
      <c r="C233" s="9">
        <v>3714823416.976059</v>
      </c>
      <c r="D233" s="9">
        <v>506773088.66880006</v>
      </c>
      <c r="E233" s="9">
        <v>1620112878.7878788</v>
      </c>
      <c r="F233" s="9">
        <v>1587937449.5193803</v>
      </c>
      <c r="G233" s="9">
        <v>0</v>
      </c>
      <c r="H233" s="9">
        <v>0</v>
      </c>
      <c r="I233" s="9">
        <v>317587489.90387607</v>
      </c>
      <c r="J233" s="9">
        <v>305327952.08022404</v>
      </c>
      <c r="K233" s="9">
        <v>1503928.9146695733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0" t="inlineStr">
        <is>
          <t xml:space="preserve">ZERO_RESIDUAL_NO_SALE</t>
        </is>
      </c>
      <c r="U233" s="9">
        <v>2888958909.4887137</v>
      </c>
      <c r="V233" s="9">
        <v>0</v>
      </c>
      <c r="W233" s="9">
        <v>0</v>
      </c>
      <c r="X233" s="9">
        <v>0</v>
      </c>
    </row>
    <row r="234">
      <c r="A234" s="0" t="inlineStr">
        <is>
          <t xml:space="preserve">VG-015</t>
        </is>
      </c>
      <c r="B234" s="23">
        <v>8</v>
      </c>
      <c r="C234" s="9">
        <v>3733211792.8900895</v>
      </c>
      <c r="D234" s="9">
        <v>516908550.44217604</v>
      </c>
      <c r="E234" s="9">
        <v>1620112878.7878788</v>
      </c>
      <c r="F234" s="9">
        <v>1596190363.660035</v>
      </c>
      <c r="G234" s="9">
        <v>0</v>
      </c>
      <c r="H234" s="9">
        <v>0</v>
      </c>
      <c r="I234" s="9">
        <v>319238072.73200697</v>
      </c>
      <c r="J234" s="9">
        <v>306839325.44302106</v>
      </c>
      <c r="K234" s="9">
        <v>1511373.3627970219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0" t="inlineStr">
        <is>
          <t xml:space="preserve">ZERO_RESIDUAL_NO_SALE</t>
        </is>
      </c>
      <c r="U234" s="9">
        <v>2895553796.3531094</v>
      </c>
      <c r="V234" s="9">
        <v>0</v>
      </c>
      <c r="W234" s="9">
        <v>0</v>
      </c>
      <c r="X234" s="9">
        <v>0</v>
      </c>
    </row>
    <row r="235">
      <c r="A235" s="0" t="inlineStr">
        <is>
          <t xml:space="preserve">VG-015</t>
        </is>
      </c>
      <c r="B235" s="23">
        <v>9</v>
      </c>
      <c r="C235" s="9">
        <v>3751691191.264896</v>
      </c>
      <c r="D235" s="9">
        <v>527246721.4510196</v>
      </c>
      <c r="E235" s="9">
        <v>1620112878.7878788</v>
      </c>
      <c r="F235" s="9">
        <v>1604331591.0259974</v>
      </c>
      <c r="G235" s="9">
        <v>0</v>
      </c>
      <c r="H235" s="9">
        <v>0</v>
      </c>
      <c r="I235" s="9">
        <v>320866318.2051995</v>
      </c>
      <c r="J235" s="9">
        <v>308358180.1039641</v>
      </c>
      <c r="K235" s="9">
        <v>1518854.6609430313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0" t="inlineStr">
        <is>
          <t xml:space="preserve">ZERO_RESIDUAL_NO_SALE</t>
        </is>
      </c>
      <c r="U235" s="9">
        <v>2902059296.947734</v>
      </c>
      <c r="V235" s="9">
        <v>0</v>
      </c>
      <c r="W235" s="9">
        <v>0</v>
      </c>
      <c r="X235" s="9">
        <v>0</v>
      </c>
    </row>
    <row r="236">
      <c r="A236" s="0" t="inlineStr">
        <is>
          <t xml:space="preserve">VG-015</t>
        </is>
      </c>
      <c r="B236" s="23">
        <v>10</v>
      </c>
      <c r="C236" s="9">
        <v>3770262062.661656</v>
      </c>
      <c r="D236" s="9">
        <v>537791655.8800399</v>
      </c>
      <c r="E236" s="9">
        <v>1620112878.7878788</v>
      </c>
      <c r="F236" s="9">
        <v>1612357527.9937375</v>
      </c>
      <c r="G236" s="9">
        <v>0</v>
      </c>
      <c r="H236" s="9">
        <v>0</v>
      </c>
      <c r="I236" s="9">
        <v>322471505.5987475</v>
      </c>
      <c r="J236" s="9">
        <v>309884553.09547853</v>
      </c>
      <c r="K236" s="9">
        <v>1526372.9915144444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121508465.9090909</v>
      </c>
      <c r="R236" s="9">
        <v>0</v>
      </c>
      <c r="S236" s="9">
        <v>0</v>
      </c>
      <c r="T236" s="0" t="inlineStr">
        <is>
          <t xml:space="preserve">ZERO_RESIDUAL_NO_SALE</t>
        </is>
      </c>
      <c r="U236" s="9">
        <v>2786964062.2822638</v>
      </c>
      <c r="V236" s="9">
        <v>0</v>
      </c>
      <c r="W236" s="9">
        <v>0</v>
      </c>
      <c r="X236" s="9">
        <v>0</v>
      </c>
    </row>
    <row r="237">
      <c r="A237" s="0" t="inlineStr">
        <is>
          <t xml:space="preserve">VG-015</t>
        </is>
      </c>
      <c r="B237" s="23">
        <v>11</v>
      </c>
      <c r="C237" s="9">
        <v>3788924859.8718324</v>
      </c>
      <c r="D237" s="9">
        <v>548547488.9976408</v>
      </c>
      <c r="E237" s="9">
        <v>1620112878.7878788</v>
      </c>
      <c r="F237" s="9">
        <v>1620264492.0863125</v>
      </c>
      <c r="G237" s="9">
        <v>0</v>
      </c>
      <c r="H237" s="9">
        <v>0</v>
      </c>
      <c r="I237" s="9">
        <v>324052898.41726255</v>
      </c>
      <c r="J237" s="9">
        <v>311418481.63330126</v>
      </c>
      <c r="K237" s="9">
        <v>1533928.5378227234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0" t="inlineStr">
        <is>
          <t xml:space="preserve">ZERO_RESIDUAL_NO_SALE</t>
        </is>
      </c>
      <c r="U237" s="9">
        <v>2914790543.919106</v>
      </c>
      <c r="V237" s="9">
        <v>0</v>
      </c>
      <c r="W237" s="9">
        <v>0</v>
      </c>
      <c r="X237" s="9">
        <v>0</v>
      </c>
    </row>
    <row r="238">
      <c r="A238" s="0" t="inlineStr">
        <is>
          <t xml:space="preserve">VG-015</t>
        </is>
      </c>
      <c r="B238" s="23">
        <v>12</v>
      </c>
      <c r="C238" s="9">
        <v>3807680037.9281974</v>
      </c>
      <c r="D238" s="9">
        <v>559518438.7775936</v>
      </c>
      <c r="E238" s="9">
        <v>1620112878.7878788</v>
      </c>
      <c r="F238" s="9">
        <v>1628048720.362725</v>
      </c>
      <c r="G238" s="9">
        <v>0</v>
      </c>
      <c r="H238" s="9">
        <v>0</v>
      </c>
      <c r="I238" s="9">
        <v>325609744.07254505</v>
      </c>
      <c r="J238" s="9">
        <v>312960003.1173861</v>
      </c>
      <c r="K238" s="9">
        <v>1541521.4840848446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0" t="inlineStr">
        <is>
          <t xml:space="preserve">ZERO_RESIDUAL_NO_SALE</t>
        </is>
      </c>
      <c r="U238" s="9">
        <v>2921010333.593974</v>
      </c>
      <c r="V238" s="9">
        <v>0</v>
      </c>
      <c r="W238" s="9">
        <v>0</v>
      </c>
      <c r="X238" s="9">
        <v>0</v>
      </c>
    </row>
    <row r="239">
      <c r="A239" s="0" t="inlineStr">
        <is>
          <t xml:space="preserve">VG-015</t>
        </is>
      </c>
      <c r="B239" s="23">
        <v>13</v>
      </c>
      <c r="C239" s="9">
        <v>3826528054.115942</v>
      </c>
      <c r="D239" s="9">
        <v>570708807.5531455</v>
      </c>
      <c r="E239" s="9">
        <v>1620112878.7878788</v>
      </c>
      <c r="F239" s="9">
        <v>1635706367.7749178</v>
      </c>
      <c r="G239" s="9">
        <v>0</v>
      </c>
      <c r="H239" s="9">
        <v>0</v>
      </c>
      <c r="I239" s="9">
        <v>327141273.5549836</v>
      </c>
      <c r="J239" s="9">
        <v>314509155.13281715</v>
      </c>
      <c r="K239" s="9">
        <v>1549152.0154310465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0" t="inlineStr">
        <is>
          <t xml:space="preserve">ZERO_RESIDUAL_NO_SALE</t>
        </is>
      </c>
      <c r="U239" s="9">
        <v>2927128820.992382</v>
      </c>
      <c r="V239" s="9">
        <v>0</v>
      </c>
      <c r="W239" s="9">
        <v>0</v>
      </c>
      <c r="X239" s="9">
        <v>0</v>
      </c>
    </row>
    <row r="240">
      <c r="A240" s="0" t="inlineStr">
        <is>
          <t xml:space="preserve">VG-015</t>
        </is>
      </c>
      <c r="B240" s="23">
        <v>14</v>
      </c>
      <c r="C240" s="9">
        <v>3845469367.983816</v>
      </c>
      <c r="D240" s="9">
        <v>582122983.7042085</v>
      </c>
      <c r="E240" s="9">
        <v>1620112878.7878788</v>
      </c>
      <c r="F240" s="9">
        <v>1643233505.491729</v>
      </c>
      <c r="G240" s="9">
        <v>0</v>
      </c>
      <c r="H240" s="9">
        <v>0</v>
      </c>
      <c r="I240" s="9">
        <v>328646701.0983458</v>
      </c>
      <c r="J240" s="9">
        <v>316065975.4507246</v>
      </c>
      <c r="K240" s="9">
        <v>1556820.3179074526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0" t="inlineStr">
        <is>
          <t xml:space="preserve">ZERO_RESIDUAL_NO_SALE</t>
        </is>
      </c>
      <c r="U240" s="9">
        <v>2933142862.8633547</v>
      </c>
      <c r="V240" s="9">
        <v>0</v>
      </c>
      <c r="W240" s="9">
        <v>0</v>
      </c>
      <c r="X240" s="9">
        <v>0</v>
      </c>
    </row>
    <row r="241">
      <c r="A241" s="0" t="inlineStr">
        <is>
          <t xml:space="preserve">VG-015</t>
        </is>
      </c>
      <c r="B241" s="23">
        <v>15</v>
      </c>
      <c r="C241" s="9">
        <v>3864504441.355337</v>
      </c>
      <c r="D241" s="9">
        <v>593765443.3782926</v>
      </c>
      <c r="E241" s="9">
        <v>1620112878.7878788</v>
      </c>
      <c r="F241" s="9">
        <v>1650626119.1891658</v>
      </c>
      <c r="G241" s="9">
        <v>0</v>
      </c>
      <c r="H241" s="9">
        <v>0</v>
      </c>
      <c r="I241" s="9">
        <v>330125223.83783317</v>
      </c>
      <c r="J241" s="9">
        <v>0</v>
      </c>
      <c r="K241" s="9">
        <v>-316065975.4507246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316065975.4507246</v>
      </c>
      <c r="T241" s="0" t="inlineStr">
        <is>
          <t xml:space="preserve">ZERO_RESIDUAL_NO_SALE</t>
        </is>
      </c>
      <c r="U241" s="9">
        <v>3256679749.5899363</v>
      </c>
      <c r="V241" s="9">
        <v>0</v>
      </c>
      <c r="W241" s="9">
        <v>0</v>
      </c>
      <c r="X241" s="9">
        <v>0</v>
      </c>
    </row>
    <row r="242">
      <c r="A242" s="0" t="inlineStr">
        <is>
          <t xml:space="preserve">VG-016</t>
        </is>
      </c>
      <c r="B242" s="23">
        <v>0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22183229166.666668</v>
      </c>
      <c r="M242" s="9">
        <v>20251410984.848484</v>
      </c>
      <c r="N242" s="9">
        <v>1931818181.8181825</v>
      </c>
      <c r="O242" s="9">
        <v>21250000000</v>
      </c>
      <c r="P242" s="9">
        <v>933229166.6666667</v>
      </c>
      <c r="Q242" s="9">
        <v>0</v>
      </c>
      <c r="R242" s="9">
        <v>0</v>
      </c>
      <c r="S242" s="9">
        <v>0</v>
      </c>
      <c r="T242" s="0" t="inlineStr">
        <is>
          <t xml:space="preserve">ZERO_RESIDUAL_NO_SALE</t>
        </is>
      </c>
      <c r="U242" s="9">
        <v>0</v>
      </c>
      <c r="V242" s="9">
        <v>22183229166.666668</v>
      </c>
      <c r="W242" s="9">
        <v>22183229166.666668</v>
      </c>
      <c r="X242" s="9">
        <v>0</v>
      </c>
    </row>
    <row r="243">
      <c r="A243" s="0" t="inlineStr">
        <is>
          <t xml:space="preserve">VG-016</t>
        </is>
      </c>
      <c r="B243" s="23">
        <v>1</v>
      </c>
      <c r="C243" s="9">
        <v>3224393999.9999995</v>
      </c>
      <c r="D243" s="9">
        <v>375000000</v>
      </c>
      <c r="E243" s="9">
        <v>1350094065.6565657</v>
      </c>
      <c r="F243" s="9">
        <v>1499299934.3434339</v>
      </c>
      <c r="G243" s="9">
        <v>0</v>
      </c>
      <c r="H243" s="9">
        <v>0</v>
      </c>
      <c r="I243" s="9">
        <v>299859986.8686868</v>
      </c>
      <c r="J243" s="9">
        <v>265018684.9315068</v>
      </c>
      <c r="K243" s="9">
        <v>265018684.9315068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0" t="inlineStr">
        <is>
          <t xml:space="preserve">ZERO_RESIDUAL_NO_SALE</t>
        </is>
      </c>
      <c r="U243" s="9">
        <v>2284515328.199806</v>
      </c>
      <c r="V243" s="9">
        <v>0</v>
      </c>
      <c r="W243" s="9">
        <v>0</v>
      </c>
      <c r="X243" s="9">
        <v>0</v>
      </c>
    </row>
    <row r="244">
      <c r="A244" s="0" t="inlineStr">
        <is>
          <t xml:space="preserve">VG-016</t>
        </is>
      </c>
      <c r="B244" s="23">
        <v>2</v>
      </c>
      <c r="C244" s="9">
        <v>3240354750.2999997</v>
      </c>
      <c r="D244" s="9">
        <v>382500000</v>
      </c>
      <c r="E244" s="9">
        <v>1350094065.6565657</v>
      </c>
      <c r="F244" s="9">
        <v>1507760684.643434</v>
      </c>
      <c r="G244" s="9">
        <v>0</v>
      </c>
      <c r="H244" s="9">
        <v>0</v>
      </c>
      <c r="I244" s="9">
        <v>301552136.9286868</v>
      </c>
      <c r="J244" s="9">
        <v>266330527.42191777</v>
      </c>
      <c r="K244" s="9">
        <v>1311842.4904109538</v>
      </c>
      <c r="L244" s="9">
        <v>0</v>
      </c>
      <c r="M244" s="9">
        <v>0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0" t="inlineStr">
        <is>
          <t xml:space="preserve">ZERO_RESIDUAL_NO_SALE</t>
        </is>
      </c>
      <c r="U244" s="9">
        <v>2554990770.8809023</v>
      </c>
      <c r="V244" s="9">
        <v>0</v>
      </c>
      <c r="W244" s="9">
        <v>0</v>
      </c>
      <c r="X244" s="9">
        <v>0</v>
      </c>
    </row>
    <row r="245">
      <c r="A245" s="0" t="inlineStr">
        <is>
          <t xml:space="preserve">VG-016</t>
        </is>
      </c>
      <c r="B245" s="23">
        <v>3</v>
      </c>
      <c r="C245" s="9">
        <v>3256394506.313985</v>
      </c>
      <c r="D245" s="9">
        <v>390150000</v>
      </c>
      <c r="E245" s="9">
        <v>1350094065.6565657</v>
      </c>
      <c r="F245" s="9">
        <v>1516150440.6574192</v>
      </c>
      <c r="G245" s="9">
        <v>0</v>
      </c>
      <c r="H245" s="9">
        <v>0</v>
      </c>
      <c r="I245" s="9">
        <v>303230088.13148385</v>
      </c>
      <c r="J245" s="9">
        <v>267648863.53265628</v>
      </c>
      <c r="K245" s="9">
        <v>1318336.1107385159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0" t="inlineStr">
        <is>
          <t xml:space="preserve">ZERO_RESIDUAL_NO_SALE</t>
        </is>
      </c>
      <c r="U245" s="9">
        <v>2561696082.071762</v>
      </c>
      <c r="V245" s="9">
        <v>0</v>
      </c>
      <c r="W245" s="9">
        <v>0</v>
      </c>
      <c r="X245" s="9">
        <v>0</v>
      </c>
    </row>
    <row r="246">
      <c r="A246" s="0" t="inlineStr">
        <is>
          <t xml:space="preserve">VG-016</t>
        </is>
      </c>
      <c r="B246" s="23">
        <v>4</v>
      </c>
      <c r="C246" s="9">
        <v>3272513659.1202393</v>
      </c>
      <c r="D246" s="9">
        <v>397953000.00000006</v>
      </c>
      <c r="E246" s="9">
        <v>1350094065.6565657</v>
      </c>
      <c r="F246" s="9">
        <v>1524466593.4636736</v>
      </c>
      <c r="G246" s="9">
        <v>0</v>
      </c>
      <c r="H246" s="9">
        <v>0</v>
      </c>
      <c r="I246" s="9">
        <v>304893318.6927347</v>
      </c>
      <c r="J246" s="9">
        <v>268973725.40714294</v>
      </c>
      <c r="K246" s="9">
        <v>1324861.874486655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0" t="inlineStr">
        <is>
          <t xml:space="preserve">ZERO_RESIDUAL_NO_SALE</t>
        </is>
      </c>
      <c r="U246" s="9">
        <v>2568342478.553018</v>
      </c>
      <c r="V246" s="9">
        <v>0</v>
      </c>
      <c r="W246" s="9">
        <v>0</v>
      </c>
      <c r="X246" s="9">
        <v>0</v>
      </c>
    </row>
    <row r="247">
      <c r="A247" s="0" t="inlineStr">
        <is>
          <t xml:space="preserve">VG-016</t>
        </is>
      </c>
      <c r="B247" s="23">
        <v>5</v>
      </c>
      <c r="C247" s="9">
        <v>3288712601.732884</v>
      </c>
      <c r="D247" s="9">
        <v>405912060</v>
      </c>
      <c r="E247" s="9">
        <v>1350094065.6565657</v>
      </c>
      <c r="F247" s="9">
        <v>1532706476.0763183</v>
      </c>
      <c r="G247" s="9">
        <v>0</v>
      </c>
      <c r="H247" s="9">
        <v>0</v>
      </c>
      <c r="I247" s="9">
        <v>306541295.21526366</v>
      </c>
      <c r="J247" s="9">
        <v>270305145.34790826</v>
      </c>
      <c r="K247" s="9">
        <v>1331419.9407653213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101257054.92424242</v>
      </c>
      <c r="R247" s="9">
        <v>0</v>
      </c>
      <c r="S247" s="9">
        <v>0</v>
      </c>
      <c r="T247" s="0" t="inlineStr">
        <is>
          <t xml:space="preserve">ZERO_RESIDUAL_NO_SALE</t>
        </is>
      </c>
      <c r="U247" s="9">
        <v>2473670771.652612</v>
      </c>
      <c r="V247" s="9">
        <v>0</v>
      </c>
      <c r="W247" s="9">
        <v>0</v>
      </c>
      <c r="X247" s="9">
        <v>0</v>
      </c>
    </row>
    <row r="248">
      <c r="A248" s="0" t="inlineStr">
        <is>
          <t xml:space="preserve">VG-016</t>
        </is>
      </c>
      <c r="B248" s="23">
        <v>6</v>
      </c>
      <c r="C248" s="9">
        <v>3304991729.111462</v>
      </c>
      <c r="D248" s="9">
        <v>414030301.2</v>
      </c>
      <c r="E248" s="9">
        <v>1350094065.6565657</v>
      </c>
      <c r="F248" s="9">
        <v>1540867362.2548966</v>
      </c>
      <c r="G248" s="9">
        <v>0</v>
      </c>
      <c r="H248" s="9">
        <v>0</v>
      </c>
      <c r="I248" s="9">
        <v>308173472.45097935</v>
      </c>
      <c r="J248" s="9">
        <v>271643155.8173804</v>
      </c>
      <c r="K248" s="9">
        <v>1338010.4694721699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0" t="inlineStr">
        <is>
          <t xml:space="preserve">ZERO_RESIDUAL_NO_SALE</t>
        </is>
      </c>
      <c r="U248" s="9">
        <v>2581449944.9910107</v>
      </c>
      <c r="V248" s="9">
        <v>0</v>
      </c>
      <c r="W248" s="9">
        <v>0</v>
      </c>
      <c r="X248" s="9">
        <v>0</v>
      </c>
    </row>
    <row r="249">
      <c r="A249" s="0" t="inlineStr">
        <is>
          <t xml:space="preserve">VG-016</t>
        </is>
      </c>
      <c r="B249" s="23">
        <v>7</v>
      </c>
      <c r="C249" s="9">
        <v>3321351438.170564</v>
      </c>
      <c r="D249" s="9">
        <v>422310907.22400004</v>
      </c>
      <c r="E249" s="9">
        <v>1350094065.6565657</v>
      </c>
      <c r="F249" s="9">
        <v>1548946465.2899985</v>
      </c>
      <c r="G249" s="9">
        <v>0</v>
      </c>
      <c r="H249" s="9">
        <v>0</v>
      </c>
      <c r="I249" s="9">
        <v>309789293.05799973</v>
      </c>
      <c r="J249" s="9">
        <v>272987789.43867654</v>
      </c>
      <c r="K249" s="9">
        <v>1344633.6212961078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0" t="inlineStr">
        <is>
          <t xml:space="preserve">ZERO_RESIDUAL_NO_SALE</t>
        </is>
      </c>
      <c r="U249" s="9">
        <v>2587906604.2672687</v>
      </c>
      <c r="V249" s="9">
        <v>0</v>
      </c>
      <c r="W249" s="9">
        <v>0</v>
      </c>
      <c r="X249" s="9">
        <v>0</v>
      </c>
    </row>
    <row r="250">
      <c r="A250" s="0" t="inlineStr">
        <is>
          <t xml:space="preserve">VG-016</t>
        </is>
      </c>
      <c r="B250" s="23">
        <v>8</v>
      </c>
      <c r="C250" s="9">
        <v>3337792127.789508</v>
      </c>
      <c r="D250" s="9">
        <v>430757125.36848</v>
      </c>
      <c r="E250" s="9">
        <v>1350094065.6565657</v>
      </c>
      <c r="F250" s="9">
        <v>1556940936.764462</v>
      </c>
      <c r="G250" s="9">
        <v>0</v>
      </c>
      <c r="H250" s="9">
        <v>0</v>
      </c>
      <c r="I250" s="9">
        <v>311388187.3528924</v>
      </c>
      <c r="J250" s="9">
        <v>274339078.9963979</v>
      </c>
      <c r="K250" s="9">
        <v>1351289.5577213764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0" t="inlineStr">
        <is>
          <t xml:space="preserve">ZERO_RESIDUAL_NO_SALE</t>
        </is>
      </c>
      <c r="U250" s="9">
        <v>2594295525.510414</v>
      </c>
      <c r="V250" s="9">
        <v>0</v>
      </c>
      <c r="W250" s="9">
        <v>0</v>
      </c>
      <c r="X250" s="9">
        <v>0</v>
      </c>
    </row>
    <row r="251">
      <c r="A251" s="0" t="inlineStr">
        <is>
          <t xml:space="preserve">VG-016</t>
        </is>
      </c>
      <c r="B251" s="23">
        <v>9</v>
      </c>
      <c r="C251" s="9">
        <v>0</v>
      </c>
      <c r="D251" s="9">
        <v>439372267.87584966</v>
      </c>
      <c r="E251" s="9">
        <v>0</v>
      </c>
      <c r="F251" s="9">
        <v>-439372267.87584966</v>
      </c>
      <c r="G251" s="9">
        <v>0</v>
      </c>
      <c r="H251" s="9">
        <v>439372267.87584966</v>
      </c>
      <c r="I251" s="9">
        <v>0</v>
      </c>
      <c r="J251" s="9">
        <v>0</v>
      </c>
      <c r="K251" s="9">
        <v>-274339078.9963979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0" t="inlineStr">
        <is>
          <t xml:space="preserve">ZERO_RESIDUAL_NO_SALE</t>
        </is>
      </c>
      <c r="U251" s="9">
        <v>-165033188.87945175</v>
      </c>
      <c r="V251" s="9">
        <v>0</v>
      </c>
      <c r="W251" s="9">
        <v>0</v>
      </c>
      <c r="X251" s="9">
        <v>0</v>
      </c>
    </row>
    <row r="252">
      <c r="A252" s="0" t="inlineStr">
        <is>
          <t xml:space="preserve">VG-016</t>
        </is>
      </c>
      <c r="B252" s="23">
        <v>10</v>
      </c>
      <c r="C252" s="9">
        <v>0</v>
      </c>
      <c r="D252" s="9">
        <v>448159713.23336667</v>
      </c>
      <c r="E252" s="9">
        <v>0</v>
      </c>
      <c r="F252" s="9">
        <v>-448159713.23336667</v>
      </c>
      <c r="G252" s="9">
        <v>439372267.87584966</v>
      </c>
      <c r="H252" s="9">
        <v>887531981.1092163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101257054.92424242</v>
      </c>
      <c r="R252" s="9">
        <v>0</v>
      </c>
      <c r="S252" s="9">
        <v>0</v>
      </c>
      <c r="T252" s="0" t="inlineStr">
        <is>
          <t xml:space="preserve">ZERO_RESIDUAL_NO_SALE</t>
        </is>
      </c>
      <c r="U252" s="9">
        <v>-549416768.1576091</v>
      </c>
      <c r="V252" s="9">
        <v>0</v>
      </c>
      <c r="W252" s="9">
        <v>0</v>
      </c>
      <c r="X252" s="9">
        <v>0</v>
      </c>
    </row>
    <row r="253">
      <c r="A253" s="0" t="inlineStr">
        <is>
          <t xml:space="preserve">VG-016</t>
        </is>
      </c>
      <c r="B253" s="23">
        <v>11</v>
      </c>
      <c r="C253" s="9">
        <v>0</v>
      </c>
      <c r="D253" s="9">
        <v>457122907.498034</v>
      </c>
      <c r="E253" s="9">
        <v>0</v>
      </c>
      <c r="F253" s="9">
        <v>-457122907.498034</v>
      </c>
      <c r="G253" s="9">
        <v>887531981.1092163</v>
      </c>
      <c r="H253" s="9">
        <v>1344654888.6072502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0" t="inlineStr">
        <is>
          <t xml:space="preserve">ZERO_RESIDUAL_NO_SALE</t>
        </is>
      </c>
      <c r="U253" s="9">
        <v>-457122907.498034</v>
      </c>
      <c r="V253" s="9">
        <v>0</v>
      </c>
      <c r="W253" s="9">
        <v>0</v>
      </c>
      <c r="X253" s="9">
        <v>0</v>
      </c>
    </row>
    <row r="254">
      <c r="A254" s="0" t="inlineStr">
        <is>
          <t xml:space="preserve">VG-016</t>
        </is>
      </c>
      <c r="B254" s="23">
        <v>12</v>
      </c>
      <c r="C254" s="9">
        <v>0</v>
      </c>
      <c r="D254" s="9">
        <v>466265365.6479947</v>
      </c>
      <c r="E254" s="9">
        <v>0</v>
      </c>
      <c r="F254" s="9">
        <v>-466265365.6479947</v>
      </c>
      <c r="G254" s="9">
        <v>1344654888.6072502</v>
      </c>
      <c r="H254" s="9">
        <v>1810920254.255245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0" t="inlineStr">
        <is>
          <t xml:space="preserve">ZERO_RESIDUAL_NO_SALE</t>
        </is>
      </c>
      <c r="U254" s="9">
        <v>-466265365.6479947</v>
      </c>
      <c r="V254" s="9">
        <v>0</v>
      </c>
      <c r="W254" s="9">
        <v>0</v>
      </c>
      <c r="X254" s="9">
        <v>0</v>
      </c>
    </row>
    <row r="255">
      <c r="A255" s="0" t="inlineStr">
        <is>
          <t xml:space="preserve">VG-016</t>
        </is>
      </c>
      <c r="B255" s="23">
        <v>13</v>
      </c>
      <c r="C255" s="9">
        <v>0</v>
      </c>
      <c r="D255" s="9">
        <v>475590672.96095455</v>
      </c>
      <c r="E255" s="9">
        <v>0</v>
      </c>
      <c r="F255" s="9">
        <v>-475590672.96095455</v>
      </c>
      <c r="G255" s="9">
        <v>1810920254.255245</v>
      </c>
      <c r="H255" s="9">
        <v>2286510927.2161994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0" t="inlineStr">
        <is>
          <t xml:space="preserve">ZERO_RESIDUAL_NO_SALE</t>
        </is>
      </c>
      <c r="U255" s="9">
        <v>-475590672.96095455</v>
      </c>
      <c r="V255" s="9">
        <v>0</v>
      </c>
      <c r="W255" s="9">
        <v>0</v>
      </c>
      <c r="X255" s="9">
        <v>0</v>
      </c>
    </row>
    <row r="256">
      <c r="A256" s="0" t="inlineStr">
        <is>
          <t xml:space="preserve">VG-016</t>
        </is>
      </c>
      <c r="B256" s="23">
        <v>14</v>
      </c>
      <c r="C256" s="9">
        <v>0</v>
      </c>
      <c r="D256" s="9">
        <v>485102486.4201737</v>
      </c>
      <c r="E256" s="9">
        <v>0</v>
      </c>
      <c r="F256" s="9">
        <v>-485102486.4201737</v>
      </c>
      <c r="G256" s="9">
        <v>2286510927.2161994</v>
      </c>
      <c r="H256" s="9">
        <v>2771613413.636373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0" t="inlineStr">
        <is>
          <t xml:space="preserve">ZERO_RESIDUAL_NO_SALE</t>
        </is>
      </c>
      <c r="U256" s="9">
        <v>-485102486.4201737</v>
      </c>
      <c r="V256" s="9">
        <v>0</v>
      </c>
      <c r="W256" s="9">
        <v>0</v>
      </c>
      <c r="X256" s="9">
        <v>0</v>
      </c>
    </row>
    <row r="257">
      <c r="A257" s="0" t="inlineStr">
        <is>
          <t xml:space="preserve">VG-016</t>
        </is>
      </c>
      <c r="B257" s="23">
        <v>15</v>
      </c>
      <c r="C257" s="9">
        <v>0</v>
      </c>
      <c r="D257" s="9">
        <v>494804536.14857715</v>
      </c>
      <c r="E257" s="9">
        <v>0</v>
      </c>
      <c r="F257" s="9">
        <v>-494804536.14857715</v>
      </c>
      <c r="G257" s="9">
        <v>2771613413.636373</v>
      </c>
      <c r="H257" s="9">
        <v>3266417949.7849503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0" t="inlineStr">
        <is>
          <t xml:space="preserve">ZERO_RESIDUAL_NO_SALE</t>
        </is>
      </c>
      <c r="U257" s="9">
        <v>-494804536.14857715</v>
      </c>
      <c r="V257" s="9">
        <v>0</v>
      </c>
      <c r="W257" s="9">
        <v>0</v>
      </c>
      <c r="X257" s="9">
        <v>0</v>
      </c>
    </row>
    <row r="258">
      <c r="A258" s="0" t="inlineStr">
        <is>
          <t xml:space="preserve">VG-017</t>
        </is>
      </c>
      <c r="B258" s="23">
        <v>0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26619875000</v>
      </c>
      <c r="M258" s="9">
        <v>24301693181.81818</v>
      </c>
      <c r="N258" s="9">
        <v>2318181818.181821</v>
      </c>
      <c r="O258" s="9">
        <v>25500000000</v>
      </c>
      <c r="P258" s="9">
        <v>1119875000</v>
      </c>
      <c r="Q258" s="9">
        <v>0</v>
      </c>
      <c r="R258" s="9">
        <v>0</v>
      </c>
      <c r="S258" s="9">
        <v>0</v>
      </c>
      <c r="T258" s="0" t="inlineStr">
        <is>
          <t xml:space="preserve">ZERO_RESIDUAL_NO_SALE</t>
        </is>
      </c>
      <c r="U258" s="9">
        <v>0</v>
      </c>
      <c r="V258" s="9">
        <v>26619875000</v>
      </c>
      <c r="W258" s="9">
        <v>26619875000</v>
      </c>
      <c r="X258" s="9">
        <v>0</v>
      </c>
    </row>
    <row r="259">
      <c r="A259" s="0" t="inlineStr">
        <is>
          <t xml:space="preserve">VG-017</t>
        </is>
      </c>
      <c r="B259" s="23">
        <v>1</v>
      </c>
      <c r="C259" s="9">
        <v>3555446400</v>
      </c>
      <c r="D259" s="9">
        <v>450000000</v>
      </c>
      <c r="E259" s="9">
        <v>1620112878.7878788</v>
      </c>
      <c r="F259" s="9">
        <v>1485333521.2121212</v>
      </c>
      <c r="G259" s="9">
        <v>0</v>
      </c>
      <c r="H259" s="9">
        <v>0</v>
      </c>
      <c r="I259" s="9">
        <v>297066704.24242425</v>
      </c>
      <c r="J259" s="9">
        <v>292228471.2328767</v>
      </c>
      <c r="K259" s="9">
        <v>292228471.2328767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0" t="inlineStr">
        <is>
          <t xml:space="preserve">ZERO_RESIDUAL_NO_SALE</t>
        </is>
      </c>
      <c r="U259" s="9">
        <v>2516151224.524699</v>
      </c>
      <c r="V259" s="9">
        <v>0</v>
      </c>
      <c r="W259" s="9">
        <v>0</v>
      </c>
      <c r="X259" s="9">
        <v>0</v>
      </c>
    </row>
    <row r="260">
      <c r="A260" s="0" t="inlineStr">
        <is>
          <t xml:space="preserve">VG-017</t>
        </is>
      </c>
      <c r="B260" s="23">
        <v>2</v>
      </c>
      <c r="C260" s="9">
        <v>3573045859.68</v>
      </c>
      <c r="D260" s="9">
        <v>459000000</v>
      </c>
      <c r="E260" s="9">
        <v>1620112878.7878788</v>
      </c>
      <c r="F260" s="9">
        <v>1493932980.892121</v>
      </c>
      <c r="G260" s="9">
        <v>0</v>
      </c>
      <c r="H260" s="9">
        <v>0</v>
      </c>
      <c r="I260" s="9">
        <v>298786596.17842424</v>
      </c>
      <c r="J260" s="9">
        <v>293675002.1654794</v>
      </c>
      <c r="K260" s="9">
        <v>1446530.9326027036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0" t="inlineStr">
        <is>
          <t xml:space="preserve">ZERO_RESIDUAL_NO_SALE</t>
        </is>
      </c>
      <c r="U260" s="9">
        <v>2813812732.5689726</v>
      </c>
      <c r="V260" s="9">
        <v>0</v>
      </c>
      <c r="W260" s="9">
        <v>0</v>
      </c>
      <c r="X260" s="9">
        <v>0</v>
      </c>
    </row>
    <row r="261">
      <c r="A261" s="0" t="inlineStr">
        <is>
          <t xml:space="preserve">VG-017</t>
        </is>
      </c>
      <c r="B261" s="23">
        <v>3</v>
      </c>
      <c r="C261" s="9">
        <v>3590732436.6854157</v>
      </c>
      <c r="D261" s="9">
        <v>468180000</v>
      </c>
      <c r="E261" s="9">
        <v>1620112878.7878788</v>
      </c>
      <c r="F261" s="9">
        <v>1502439557.897537</v>
      </c>
      <c r="G261" s="9">
        <v>0</v>
      </c>
      <c r="H261" s="9">
        <v>0</v>
      </c>
      <c r="I261" s="9">
        <v>300487911.5795074</v>
      </c>
      <c r="J261" s="9">
        <v>295128693.42619854</v>
      </c>
      <c r="K261" s="9">
        <v>1453691.2607191205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0" t="inlineStr">
        <is>
          <t xml:space="preserve">ZERO_RESIDUAL_NO_SALE</t>
        </is>
      </c>
      <c r="U261" s="9">
        <v>2820610833.845189</v>
      </c>
      <c r="V261" s="9">
        <v>0</v>
      </c>
      <c r="W261" s="9">
        <v>0</v>
      </c>
      <c r="X261" s="9">
        <v>0</v>
      </c>
    </row>
    <row r="262">
      <c r="A262" s="0" t="inlineStr">
        <is>
          <t xml:space="preserve">VG-017</t>
        </is>
      </c>
      <c r="B262" s="23">
        <v>4</v>
      </c>
      <c r="C262" s="9">
        <v>3608506562.247009</v>
      </c>
      <c r="D262" s="9">
        <v>477543600.00000006</v>
      </c>
      <c r="E262" s="9">
        <v>1620112878.7878788</v>
      </c>
      <c r="F262" s="9">
        <v>1510850083.45913</v>
      </c>
      <c r="G262" s="9">
        <v>0</v>
      </c>
      <c r="H262" s="9">
        <v>0</v>
      </c>
      <c r="I262" s="9">
        <v>302170016.69182605</v>
      </c>
      <c r="J262" s="9">
        <v>296589580.4586583</v>
      </c>
      <c r="K262" s="9">
        <v>1460887.0324597359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0" t="inlineStr">
        <is>
          <t xml:space="preserve">ZERO_RESIDUAL_NO_SALE</t>
        </is>
      </c>
      <c r="U262" s="9">
        <v>2827332058.522723</v>
      </c>
      <c r="V262" s="9">
        <v>0</v>
      </c>
      <c r="W262" s="9">
        <v>0</v>
      </c>
      <c r="X262" s="9">
        <v>0</v>
      </c>
    </row>
    <row r="263">
      <c r="A263" s="0" t="inlineStr">
        <is>
          <t xml:space="preserve">VG-017</t>
        </is>
      </c>
      <c r="B263" s="23">
        <v>5</v>
      </c>
      <c r="C263" s="9">
        <v>3626368669.730131</v>
      </c>
      <c r="D263" s="9">
        <v>487094472</v>
      </c>
      <c r="E263" s="9">
        <v>1620112878.7878788</v>
      </c>
      <c r="F263" s="9">
        <v>1519161318.9422524</v>
      </c>
      <c r="G263" s="9">
        <v>0</v>
      </c>
      <c r="H263" s="9">
        <v>0</v>
      </c>
      <c r="I263" s="9">
        <v>303832263.7884505</v>
      </c>
      <c r="J263" s="9">
        <v>298057698.88192856</v>
      </c>
      <c r="K263" s="9">
        <v>1468118.4232702851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121508465.9090909</v>
      </c>
      <c r="R263" s="9">
        <v>0</v>
      </c>
      <c r="S263" s="9">
        <v>0</v>
      </c>
      <c r="T263" s="0" t="inlineStr">
        <is>
          <t xml:space="preserve">ZERO_RESIDUAL_NO_SALE</t>
        </is>
      </c>
      <c r="U263" s="9">
        <v>2712465349.6093197</v>
      </c>
      <c r="V263" s="9">
        <v>0</v>
      </c>
      <c r="W263" s="9">
        <v>0</v>
      </c>
      <c r="X263" s="9">
        <v>0</v>
      </c>
    </row>
    <row r="264">
      <c r="A264" s="0" t="inlineStr">
        <is>
          <t xml:space="preserve">VG-017</t>
        </is>
      </c>
      <c r="B264" s="23">
        <v>6</v>
      </c>
      <c r="C264" s="9">
        <v>3644319194.645296</v>
      </c>
      <c r="D264" s="9">
        <v>496836361.44</v>
      </c>
      <c r="E264" s="9">
        <v>1620112878.7878788</v>
      </c>
      <c r="F264" s="9">
        <v>1527369954.4174173</v>
      </c>
      <c r="G264" s="9">
        <v>0</v>
      </c>
      <c r="H264" s="9">
        <v>0</v>
      </c>
      <c r="I264" s="9">
        <v>305473990.88348347</v>
      </c>
      <c r="J264" s="9">
        <v>299533084.4913942</v>
      </c>
      <c r="K264" s="9">
        <v>1475385.6094656587</v>
      </c>
      <c r="L264" s="9">
        <v>0</v>
      </c>
      <c r="M264" s="9">
        <v>0</v>
      </c>
      <c r="N264" s="9">
        <v>0</v>
      </c>
      <c r="O264" s="9">
        <v>0</v>
      </c>
      <c r="P264" s="9">
        <v>0</v>
      </c>
      <c r="Q264" s="9">
        <v>0</v>
      </c>
      <c r="R264" s="9">
        <v>0</v>
      </c>
      <c r="S264" s="9">
        <v>0</v>
      </c>
      <c r="T264" s="0" t="inlineStr">
        <is>
          <t xml:space="preserve">ZERO_RESIDUAL_NO_SALE</t>
        </is>
      </c>
      <c r="U264" s="9">
        <v>2840533456.712347</v>
      </c>
      <c r="V264" s="9">
        <v>0</v>
      </c>
      <c r="W264" s="9">
        <v>0</v>
      </c>
      <c r="X264" s="9">
        <v>0</v>
      </c>
    </row>
    <row r="265">
      <c r="A265" s="0" t="inlineStr">
        <is>
          <t xml:space="preserve">VG-017</t>
        </is>
      </c>
      <c r="B265" s="23">
        <v>7</v>
      </c>
      <c r="C265" s="9">
        <v>3662358574.65879</v>
      </c>
      <c r="D265" s="9">
        <v>506773088.66880006</v>
      </c>
      <c r="E265" s="9">
        <v>1620112878.7878788</v>
      </c>
      <c r="F265" s="9">
        <v>1535472607.2021115</v>
      </c>
      <c r="G265" s="9">
        <v>0</v>
      </c>
      <c r="H265" s="9">
        <v>0</v>
      </c>
      <c r="I265" s="9">
        <v>307094521.4404223</v>
      </c>
      <c r="J265" s="9">
        <v>301015773.25962657</v>
      </c>
      <c r="K265" s="9">
        <v>1482688.7682323456</v>
      </c>
      <c r="L265" s="9">
        <v>0</v>
      </c>
      <c r="M265" s="9">
        <v>0</v>
      </c>
      <c r="N265" s="9">
        <v>0</v>
      </c>
      <c r="O265" s="9">
        <v>0</v>
      </c>
      <c r="P265" s="9">
        <v>0</v>
      </c>
      <c r="Q265" s="9">
        <v>0</v>
      </c>
      <c r="R265" s="9">
        <v>0</v>
      </c>
      <c r="S265" s="9">
        <v>0</v>
      </c>
      <c r="T265" s="0" t="inlineStr">
        <is>
          <t xml:space="preserve">ZERO_RESIDUAL_NO_SALE</t>
        </is>
      </c>
      <c r="U265" s="9">
        <v>2847008275.781336</v>
      </c>
      <c r="V265" s="9">
        <v>0</v>
      </c>
      <c r="W265" s="9">
        <v>0</v>
      </c>
      <c r="X265" s="9">
        <v>0</v>
      </c>
    </row>
    <row r="266">
      <c r="A266" s="0" t="inlineStr">
        <is>
          <t xml:space="preserve">VG-017</t>
        </is>
      </c>
      <c r="B266" s="23">
        <v>8</v>
      </c>
      <c r="C266" s="9">
        <v>3680487249.6033506</v>
      </c>
      <c r="D266" s="9">
        <v>516908550.44217604</v>
      </c>
      <c r="E266" s="9">
        <v>1620112878.7878788</v>
      </c>
      <c r="F266" s="9">
        <v>1543465820.373296</v>
      </c>
      <c r="G266" s="9">
        <v>0</v>
      </c>
      <c r="H266" s="9">
        <v>0</v>
      </c>
      <c r="I266" s="9">
        <v>308693164.0746592</v>
      </c>
      <c r="J266" s="9">
        <v>302505801.33726174</v>
      </c>
      <c r="K266" s="9">
        <v>1490028.077635169</v>
      </c>
      <c r="L266" s="9">
        <v>0</v>
      </c>
      <c r="M266" s="9">
        <v>0</v>
      </c>
      <c r="N266" s="9">
        <v>0</v>
      </c>
      <c r="O266" s="9">
        <v>0</v>
      </c>
      <c r="P266" s="9">
        <v>0</v>
      </c>
      <c r="Q266" s="9">
        <v>0</v>
      </c>
      <c r="R266" s="9">
        <v>0</v>
      </c>
      <c r="S266" s="9">
        <v>0</v>
      </c>
      <c r="T266" s="0" t="inlineStr">
        <is>
          <t xml:space="preserve">ZERO_RESIDUAL_NO_SALE</t>
        </is>
      </c>
      <c r="U266" s="9">
        <v>2853395507.00888</v>
      </c>
      <c r="V266" s="9">
        <v>0</v>
      </c>
      <c r="W266" s="9">
        <v>0</v>
      </c>
      <c r="X266" s="9">
        <v>0</v>
      </c>
    </row>
    <row r="267">
      <c r="A267" s="0" t="inlineStr">
        <is>
          <t xml:space="preserve">VG-017</t>
        </is>
      </c>
      <c r="B267" s="23">
        <v>9</v>
      </c>
      <c r="C267" s="9">
        <v>3698705661.4888873</v>
      </c>
      <c r="D267" s="9">
        <v>527246721.4510196</v>
      </c>
      <c r="E267" s="9">
        <v>1620112878.7878788</v>
      </c>
      <c r="F267" s="9">
        <v>1551346061.2499888</v>
      </c>
      <c r="G267" s="9">
        <v>0</v>
      </c>
      <c r="H267" s="9">
        <v>0</v>
      </c>
      <c r="I267" s="9">
        <v>310269212.2499978</v>
      </c>
      <c r="J267" s="9">
        <v>304003205.05388117</v>
      </c>
      <c r="K267" s="9">
        <v>1497403.716619432</v>
      </c>
      <c r="L267" s="9">
        <v>0</v>
      </c>
      <c r="M267" s="9">
        <v>0</v>
      </c>
      <c r="N267" s="9">
        <v>0</v>
      </c>
      <c r="O267" s="9">
        <v>0</v>
      </c>
      <c r="P267" s="9">
        <v>0</v>
      </c>
      <c r="Q267" s="9">
        <v>0</v>
      </c>
      <c r="R267" s="9">
        <v>0</v>
      </c>
      <c r="S267" s="9">
        <v>0</v>
      </c>
      <c r="T267" s="0" t="inlineStr">
        <is>
          <t xml:space="preserve">ZERO_RESIDUAL_NO_SALE</t>
        </is>
      </c>
      <c r="U267" s="9">
        <v>2859692324.0712504</v>
      </c>
      <c r="V267" s="9">
        <v>0</v>
      </c>
      <c r="W267" s="9">
        <v>0</v>
      </c>
      <c r="X267" s="9">
        <v>0</v>
      </c>
    </row>
    <row r="268">
      <c r="A268" s="0" t="inlineStr">
        <is>
          <t xml:space="preserve">VG-017</t>
        </is>
      </c>
      <c r="B268" s="23">
        <v>10</v>
      </c>
      <c r="C268" s="9">
        <v>3717014254.513257</v>
      </c>
      <c r="D268" s="9">
        <v>537791655.8800399</v>
      </c>
      <c r="E268" s="9">
        <v>1620112878.7878788</v>
      </c>
      <c r="F268" s="9">
        <v>1559109719.845338</v>
      </c>
      <c r="G268" s="9">
        <v>0</v>
      </c>
      <c r="H268" s="9">
        <v>0</v>
      </c>
      <c r="I268" s="9">
        <v>311821943.96906763</v>
      </c>
      <c r="J268" s="9">
        <v>305508020.9188978</v>
      </c>
      <c r="K268" s="9">
        <v>1504815.8650166392</v>
      </c>
      <c r="L268" s="9">
        <v>0</v>
      </c>
      <c r="M268" s="9">
        <v>0</v>
      </c>
      <c r="N268" s="9">
        <v>0</v>
      </c>
      <c r="O268" s="9">
        <v>0</v>
      </c>
      <c r="P268" s="9">
        <v>0</v>
      </c>
      <c r="Q268" s="9">
        <v>121508465.9090909</v>
      </c>
      <c r="R268" s="9">
        <v>0</v>
      </c>
      <c r="S268" s="9">
        <v>0</v>
      </c>
      <c r="T268" s="0" t="inlineStr">
        <is>
          <t xml:space="preserve">ZERO_RESIDUAL_NO_SALE</t>
        </is>
      </c>
      <c r="U268" s="9">
        <v>2744387372.890042</v>
      </c>
      <c r="V268" s="9">
        <v>0</v>
      </c>
      <c r="W268" s="9">
        <v>0</v>
      </c>
      <c r="X268" s="9">
        <v>0</v>
      </c>
    </row>
    <row r="269">
      <c r="A269" s="0" t="inlineStr">
        <is>
          <t xml:space="preserve">VG-017</t>
        </is>
      </c>
      <c r="B269" s="23">
        <v>11</v>
      </c>
      <c r="C269" s="9">
        <v>3735413475.0730977</v>
      </c>
      <c r="D269" s="9">
        <v>548547488.9976408</v>
      </c>
      <c r="E269" s="9">
        <v>1620112878.7878788</v>
      </c>
      <c r="F269" s="9">
        <v>1566753107.2875779</v>
      </c>
      <c r="G269" s="9">
        <v>0</v>
      </c>
      <c r="H269" s="9">
        <v>0</v>
      </c>
      <c r="I269" s="9">
        <v>313350621.4575156</v>
      </c>
      <c r="J269" s="9">
        <v>307020285.6224464</v>
      </c>
      <c r="K269" s="9">
        <v>1512264.7035486102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v>0</v>
      </c>
      <c r="R269" s="9">
        <v>0</v>
      </c>
      <c r="S269" s="9">
        <v>0</v>
      </c>
      <c r="T269" s="0" t="inlineStr">
        <is>
          <t xml:space="preserve">ZERO_RESIDUAL_NO_SALE</t>
        </is>
      </c>
      <c r="U269" s="9">
        <v>2872003099.9143925</v>
      </c>
      <c r="V269" s="9">
        <v>0</v>
      </c>
      <c r="W269" s="9">
        <v>0</v>
      </c>
      <c r="X269" s="9">
        <v>0</v>
      </c>
    </row>
    <row r="270">
      <c r="A270" s="0" t="inlineStr">
        <is>
          <t xml:space="preserve">VG-017</t>
        </is>
      </c>
      <c r="B270" s="23">
        <v>12</v>
      </c>
      <c r="C270" s="9">
        <v>3753903771.7747097</v>
      </c>
      <c r="D270" s="9">
        <v>559518438.7775936</v>
      </c>
      <c r="E270" s="9">
        <v>1620112878.7878788</v>
      </c>
      <c r="F270" s="9">
        <v>1574272454.2092373</v>
      </c>
      <c r="G270" s="9">
        <v>0</v>
      </c>
      <c r="H270" s="9">
        <v>0</v>
      </c>
      <c r="I270" s="9">
        <v>314854490.8418475</v>
      </c>
      <c r="J270" s="9">
        <v>308540036.0362775</v>
      </c>
      <c r="K270" s="9">
        <v>1519750.4138310552</v>
      </c>
      <c r="L270" s="9">
        <v>0</v>
      </c>
      <c r="M270" s="9">
        <v>0</v>
      </c>
      <c r="N270" s="9">
        <v>0</v>
      </c>
      <c r="O270" s="9">
        <v>0</v>
      </c>
      <c r="P270" s="9">
        <v>0</v>
      </c>
      <c r="Q270" s="9">
        <v>0</v>
      </c>
      <c r="R270" s="9">
        <v>0</v>
      </c>
      <c r="S270" s="9">
        <v>0</v>
      </c>
      <c r="T270" s="0" t="inlineStr">
        <is>
          <t xml:space="preserve">ZERO_RESIDUAL_NO_SALE</t>
        </is>
      </c>
      <c r="U270" s="9">
        <v>2878011091.7414374</v>
      </c>
      <c r="V270" s="9">
        <v>0</v>
      </c>
      <c r="W270" s="9">
        <v>0</v>
      </c>
      <c r="X270" s="9">
        <v>0</v>
      </c>
    </row>
    <row r="271">
      <c r="A271" s="0" t="inlineStr">
        <is>
          <t xml:space="preserve">VG-017</t>
        </is>
      </c>
      <c r="B271" s="23">
        <v>13</v>
      </c>
      <c r="C271" s="9">
        <v>3772485595.4449944</v>
      </c>
      <c r="D271" s="9">
        <v>570708807.5531455</v>
      </c>
      <c r="E271" s="9">
        <v>1620112878.7878788</v>
      </c>
      <c r="F271" s="9">
        <v>1581663909.1039703</v>
      </c>
      <c r="G271" s="9">
        <v>0</v>
      </c>
      <c r="H271" s="9">
        <v>0</v>
      </c>
      <c r="I271" s="9">
        <v>316332781.82079405</v>
      </c>
      <c r="J271" s="9">
        <v>310067309.21465707</v>
      </c>
      <c r="K271" s="9">
        <v>1527273.1783795953</v>
      </c>
      <c r="L271" s="9">
        <v>0</v>
      </c>
      <c r="M271" s="9">
        <v>0</v>
      </c>
      <c r="N271" s="9">
        <v>0</v>
      </c>
      <c r="O271" s="9">
        <v>0</v>
      </c>
      <c r="P271" s="9">
        <v>0</v>
      </c>
      <c r="Q271" s="9">
        <v>0</v>
      </c>
      <c r="R271" s="9">
        <v>0</v>
      </c>
      <c r="S271" s="9">
        <v>0</v>
      </c>
      <c r="T271" s="0" t="inlineStr">
        <is>
          <t xml:space="preserve">ZERO_RESIDUAL_NO_SALE</t>
        </is>
      </c>
      <c r="U271" s="9">
        <v>2883916732.8926754</v>
      </c>
      <c r="V271" s="9">
        <v>0</v>
      </c>
      <c r="W271" s="9">
        <v>0</v>
      </c>
      <c r="X271" s="9">
        <v>0</v>
      </c>
    </row>
    <row r="272">
      <c r="A272" s="0" t="inlineStr">
        <is>
          <t xml:space="preserve">VG-017</t>
        </is>
      </c>
      <c r="B272" s="23">
        <v>14</v>
      </c>
      <c r="C272" s="9">
        <v>3791159399.1424475</v>
      </c>
      <c r="D272" s="9">
        <v>582122983.7042085</v>
      </c>
      <c r="E272" s="9">
        <v>1620112878.7878788</v>
      </c>
      <c r="F272" s="9">
        <v>1588923536.6503603</v>
      </c>
      <c r="G272" s="9">
        <v>0</v>
      </c>
      <c r="H272" s="9">
        <v>0</v>
      </c>
      <c r="I272" s="9">
        <v>317784707.3300721</v>
      </c>
      <c r="J272" s="9">
        <v>311602142.39526963</v>
      </c>
      <c r="K272" s="9">
        <v>1534833.180612564</v>
      </c>
      <c r="L272" s="9">
        <v>0</v>
      </c>
      <c r="M272" s="9">
        <v>0</v>
      </c>
      <c r="N272" s="9">
        <v>0</v>
      </c>
      <c r="O272" s="9">
        <v>0</v>
      </c>
      <c r="P272" s="9">
        <v>0</v>
      </c>
      <c r="Q272" s="9">
        <v>0</v>
      </c>
      <c r="R272" s="9">
        <v>0</v>
      </c>
      <c r="S272" s="9">
        <v>0</v>
      </c>
      <c r="T272" s="0" t="inlineStr">
        <is>
          <t xml:space="preserve">ZERO_RESIDUAL_NO_SALE</t>
        </is>
      </c>
      <c r="U272" s="9">
        <v>2889716874.9275546</v>
      </c>
      <c r="V272" s="9">
        <v>0</v>
      </c>
      <c r="W272" s="9">
        <v>0</v>
      </c>
      <c r="X272" s="9">
        <v>0</v>
      </c>
    </row>
    <row r="273">
      <c r="A273" s="0" t="inlineStr">
        <is>
          <t xml:space="preserve">VG-017</t>
        </is>
      </c>
      <c r="B273" s="23">
        <v>15</v>
      </c>
      <c r="C273" s="9">
        <v>3809925638.168203</v>
      </c>
      <c r="D273" s="9">
        <v>593765443.3782926</v>
      </c>
      <c r="E273" s="9">
        <v>1620112878.7878788</v>
      </c>
      <c r="F273" s="9">
        <v>1596047316.0020316</v>
      </c>
      <c r="G273" s="9">
        <v>0</v>
      </c>
      <c r="H273" s="9">
        <v>0</v>
      </c>
      <c r="I273" s="9">
        <v>319209463.2004063</v>
      </c>
      <c r="J273" s="9">
        <v>0</v>
      </c>
      <c r="K273" s="9">
        <v>-311602142.39526963</v>
      </c>
      <c r="L273" s="9">
        <v>0</v>
      </c>
      <c r="M273" s="9">
        <v>0</v>
      </c>
      <c r="N273" s="9">
        <v>0</v>
      </c>
      <c r="O273" s="9">
        <v>0</v>
      </c>
      <c r="P273" s="9">
        <v>0</v>
      </c>
      <c r="Q273" s="9">
        <v>0</v>
      </c>
      <c r="R273" s="9">
        <v>0</v>
      </c>
      <c r="S273" s="9">
        <v>311602142.39526963</v>
      </c>
      <c r="T273" s="0" t="inlineStr">
        <is>
          <t xml:space="preserve">ZERO_RESIDUAL_NO_SALE</t>
        </is>
      </c>
      <c r="U273" s="9">
        <v>3208552873.9847736</v>
      </c>
      <c r="V273" s="9">
        <v>0</v>
      </c>
      <c r="W273" s="9">
        <v>0</v>
      </c>
      <c r="X273" s="9">
        <v>0</v>
      </c>
    </row>
    <row r="274">
      <c r="A274" s="0" t="inlineStr">
        <is>
          <t xml:space="preserve">VG-018</t>
        </is>
      </c>
      <c r="B274" s="23">
        <v>0</v>
      </c>
      <c r="C274" s="9">
        <v>0</v>
      </c>
      <c r="D274" s="9">
        <v>0</v>
      </c>
      <c r="E274" s="9">
        <v>0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25510713541.666668</v>
      </c>
      <c r="M274" s="9">
        <v>23289122632.575756</v>
      </c>
      <c r="N274" s="9">
        <v>2221590909.090911</v>
      </c>
      <c r="O274" s="9">
        <v>24437500000</v>
      </c>
      <c r="P274" s="9">
        <v>1073213541.6666666</v>
      </c>
      <c r="Q274" s="9">
        <v>0</v>
      </c>
      <c r="R274" s="9">
        <v>0</v>
      </c>
      <c r="S274" s="9">
        <v>0</v>
      </c>
      <c r="T274" s="0" t="inlineStr">
        <is>
          <t xml:space="preserve">ZERO_RESIDUAL_NO_SALE</t>
        </is>
      </c>
      <c r="U274" s="9">
        <v>0</v>
      </c>
      <c r="V274" s="9">
        <v>25510713541.666668</v>
      </c>
      <c r="W274" s="9">
        <v>25510713541.666668</v>
      </c>
      <c r="X274" s="9">
        <v>0</v>
      </c>
    </row>
    <row r="275">
      <c r="A275" s="0" t="inlineStr">
        <is>
          <t xml:space="preserve">VG-018</t>
        </is>
      </c>
      <c r="B275" s="23">
        <v>1</v>
      </c>
      <c r="C275" s="9">
        <v>3194676540.0000005</v>
      </c>
      <c r="D275" s="9">
        <v>431250000</v>
      </c>
      <c r="E275" s="9">
        <v>1552608175.5050504</v>
      </c>
      <c r="F275" s="9">
        <v>1210818364.49495</v>
      </c>
      <c r="G275" s="9">
        <v>0</v>
      </c>
      <c r="H275" s="9">
        <v>0</v>
      </c>
      <c r="I275" s="9">
        <v>242163672.89899004</v>
      </c>
      <c r="J275" s="9">
        <v>262576153.97260278</v>
      </c>
      <c r="K275" s="9">
        <v>262576153.97260278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0" t="inlineStr">
        <is>
          <t xml:space="preserve">ZERO_RESIDUAL_NO_SALE</t>
        </is>
      </c>
      <c r="U275" s="9">
        <v>2258686713.1284075</v>
      </c>
      <c r="V275" s="9">
        <v>0</v>
      </c>
      <c r="W275" s="9">
        <v>0</v>
      </c>
      <c r="X275" s="9">
        <v>0</v>
      </c>
    </row>
    <row r="276">
      <c r="A276" s="0" t="inlineStr">
        <is>
          <t xml:space="preserve">VG-018</t>
        </is>
      </c>
      <c r="B276" s="23">
        <v>2</v>
      </c>
      <c r="C276" s="9">
        <v>3210490188.873</v>
      </c>
      <c r="D276" s="9">
        <v>439875000</v>
      </c>
      <c r="E276" s="9">
        <v>1552608175.5050504</v>
      </c>
      <c r="F276" s="9">
        <v>1218007013.3679497</v>
      </c>
      <c r="G276" s="9">
        <v>0</v>
      </c>
      <c r="H276" s="9">
        <v>0</v>
      </c>
      <c r="I276" s="9">
        <v>243601402.67358994</v>
      </c>
      <c r="J276" s="9">
        <v>263875905.93476713</v>
      </c>
      <c r="K276" s="9">
        <v>1299751.9621643424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v>0</v>
      </c>
      <c r="R276" s="9">
        <v>0</v>
      </c>
      <c r="S276" s="9">
        <v>0</v>
      </c>
      <c r="T276" s="0" t="inlineStr">
        <is>
          <t xml:space="preserve">ZERO_RESIDUAL_NO_SALE</t>
        </is>
      </c>
      <c r="U276" s="9">
        <v>2525714034.237246</v>
      </c>
      <c r="V276" s="9">
        <v>0</v>
      </c>
      <c r="W276" s="9">
        <v>0</v>
      </c>
      <c r="X276" s="9">
        <v>0</v>
      </c>
    </row>
    <row r="277">
      <c r="A277" s="0" t="inlineStr">
        <is>
          <t xml:space="preserve">VG-018</t>
        </is>
      </c>
      <c r="B277" s="23">
        <v>3</v>
      </c>
      <c r="C277" s="9">
        <v>3226382115.3079214</v>
      </c>
      <c r="D277" s="9">
        <v>448672500</v>
      </c>
      <c r="E277" s="9">
        <v>1552608175.5050504</v>
      </c>
      <c r="F277" s="9">
        <v>1225101439.802871</v>
      </c>
      <c r="G277" s="9">
        <v>0</v>
      </c>
      <c r="H277" s="9">
        <v>0</v>
      </c>
      <c r="I277" s="9">
        <v>245020287.9605742</v>
      </c>
      <c r="J277" s="9">
        <v>265182091.6691442</v>
      </c>
      <c r="K277" s="9">
        <v>1306185.7343770862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0</v>
      </c>
      <c r="R277" s="9">
        <v>0</v>
      </c>
      <c r="S277" s="9">
        <v>0</v>
      </c>
      <c r="T277" s="0" t="inlineStr">
        <is>
          <t xml:space="preserve">ZERO_RESIDUAL_NO_SALE</t>
        </is>
      </c>
      <c r="U277" s="9">
        <v>2531383141.6129704</v>
      </c>
      <c r="V277" s="9">
        <v>0</v>
      </c>
      <c r="W277" s="9">
        <v>0</v>
      </c>
      <c r="X277" s="9">
        <v>0</v>
      </c>
    </row>
    <row r="278">
      <c r="A278" s="0" t="inlineStr">
        <is>
          <t xml:space="preserve">VG-018</t>
        </is>
      </c>
      <c r="B278" s="23">
        <v>4</v>
      </c>
      <c r="C278" s="9">
        <v>3242352706.778696</v>
      </c>
      <c r="D278" s="9">
        <v>457645950.00000006</v>
      </c>
      <c r="E278" s="9">
        <v>1552608175.5050504</v>
      </c>
      <c r="F278" s="9">
        <v>1232098581.2736456</v>
      </c>
      <c r="G278" s="9">
        <v>0</v>
      </c>
      <c r="H278" s="9">
        <v>0</v>
      </c>
      <c r="I278" s="9">
        <v>246419716.25472915</v>
      </c>
      <c r="J278" s="9">
        <v>266494743.02290654</v>
      </c>
      <c r="K278" s="9">
        <v>1312651.3537623286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v>0</v>
      </c>
      <c r="R278" s="9">
        <v>0</v>
      </c>
      <c r="S278" s="9">
        <v>0</v>
      </c>
      <c r="T278" s="0" t="inlineStr">
        <is>
          <t xml:space="preserve">ZERO_RESIDUAL_NO_SALE</t>
        </is>
      </c>
      <c r="U278" s="9">
        <v>2536974389.1702046</v>
      </c>
      <c r="V278" s="9">
        <v>0</v>
      </c>
      <c r="W278" s="9">
        <v>0</v>
      </c>
      <c r="X278" s="9">
        <v>0</v>
      </c>
    </row>
    <row r="279">
      <c r="A279" s="0" t="inlineStr">
        <is>
          <t xml:space="preserve">VG-018</t>
        </is>
      </c>
      <c r="B279" s="23">
        <v>5</v>
      </c>
      <c r="C279" s="9">
        <v>3258402352.67725</v>
      </c>
      <c r="D279" s="9">
        <v>466798869</v>
      </c>
      <c r="E279" s="9">
        <v>1552608175.5050504</v>
      </c>
      <c r="F279" s="9">
        <v>1238995308.1721995</v>
      </c>
      <c r="G279" s="9">
        <v>0</v>
      </c>
      <c r="H279" s="9">
        <v>0</v>
      </c>
      <c r="I279" s="9">
        <v>247799061.63443992</v>
      </c>
      <c r="J279" s="9">
        <v>267813892.00086987</v>
      </c>
      <c r="K279" s="9">
        <v>1319148.9779633284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v>116445613.16287878</v>
      </c>
      <c r="R279" s="9">
        <v>0</v>
      </c>
      <c r="S279" s="9">
        <v>0</v>
      </c>
      <c r="T279" s="0" t="inlineStr">
        <is>
          <t xml:space="preserve">ZERO_RESIDUAL_NO_SALE</t>
        </is>
      </c>
      <c r="U279" s="9">
        <v>2426039659.9019675</v>
      </c>
      <c r="V279" s="9">
        <v>0</v>
      </c>
      <c r="W279" s="9">
        <v>0</v>
      </c>
      <c r="X279" s="9">
        <v>0</v>
      </c>
    </row>
    <row r="280">
      <c r="A280" s="0" t="inlineStr">
        <is>
          <t xml:space="preserve">VG-018</t>
        </is>
      </c>
      <c r="B280" s="23">
        <v>6</v>
      </c>
      <c r="C280" s="9">
        <v>3274531444.3230033</v>
      </c>
      <c r="D280" s="9">
        <v>476134846.38</v>
      </c>
      <c r="E280" s="9">
        <v>1552608175.5050504</v>
      </c>
      <c r="F280" s="9">
        <v>1245788422.4379528</v>
      </c>
      <c r="G280" s="9">
        <v>0</v>
      </c>
      <c r="H280" s="9">
        <v>0</v>
      </c>
      <c r="I280" s="9">
        <v>249157684.48759055</v>
      </c>
      <c r="J280" s="9">
        <v>269139570.7662742</v>
      </c>
      <c r="K280" s="9">
        <v>1325678.7654043436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v>0</v>
      </c>
      <c r="R280" s="9">
        <v>0</v>
      </c>
      <c r="S280" s="9">
        <v>0</v>
      </c>
      <c r="T280" s="0" t="inlineStr">
        <is>
          <t xml:space="preserve">ZERO_RESIDUAL_NO_SALE</t>
        </is>
      </c>
      <c r="U280" s="9">
        <v>2547913234.6900086</v>
      </c>
      <c r="V280" s="9">
        <v>0</v>
      </c>
      <c r="W280" s="9">
        <v>0</v>
      </c>
      <c r="X280" s="9">
        <v>0</v>
      </c>
    </row>
    <row r="281">
      <c r="A281" s="0" t="inlineStr">
        <is>
          <t xml:space="preserve">VG-018</t>
        </is>
      </c>
      <c r="B281" s="23">
        <v>7</v>
      </c>
      <c r="C281" s="9">
        <v>3290740374.9724016</v>
      </c>
      <c r="D281" s="9">
        <v>485657543.3076</v>
      </c>
      <c r="E281" s="9">
        <v>1552608175.5050504</v>
      </c>
      <c r="F281" s="9">
        <v>1252474656.1597512</v>
      </c>
      <c r="G281" s="9">
        <v>0</v>
      </c>
      <c r="H281" s="9">
        <v>0</v>
      </c>
      <c r="I281" s="9">
        <v>250494931.23195025</v>
      </c>
      <c r="J281" s="9">
        <v>270471811.64156723</v>
      </c>
      <c r="K281" s="9">
        <v>1332240.8752930164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v>0</v>
      </c>
      <c r="R281" s="9">
        <v>0</v>
      </c>
      <c r="S281" s="9">
        <v>0</v>
      </c>
      <c r="T281" s="0" t="inlineStr">
        <is>
          <t xml:space="preserve">ZERO_RESIDUAL_NO_SALE</t>
        </is>
      </c>
      <c r="U281" s="9">
        <v>2553255659.557558</v>
      </c>
      <c r="V281" s="9">
        <v>0</v>
      </c>
      <c r="W281" s="9">
        <v>0</v>
      </c>
      <c r="X281" s="9">
        <v>0</v>
      </c>
    </row>
    <row r="282">
      <c r="A282" s="0" t="inlineStr">
        <is>
          <t xml:space="preserve">VG-018</t>
        </is>
      </c>
      <c r="B282" s="23">
        <v>8</v>
      </c>
      <c r="C282" s="9">
        <v>3307029539.8285146</v>
      </c>
      <c r="D282" s="9">
        <v>495370694.173752</v>
      </c>
      <c r="E282" s="9">
        <v>1552608175.5050504</v>
      </c>
      <c r="F282" s="9">
        <v>1259050670.1497123</v>
      </c>
      <c r="G282" s="9">
        <v>0</v>
      </c>
      <c r="H282" s="9">
        <v>0</v>
      </c>
      <c r="I282" s="9">
        <v>251810134.02994248</v>
      </c>
      <c r="J282" s="9">
        <v>271810647.10919297</v>
      </c>
      <c r="K282" s="9">
        <v>1338835.4676257372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v>0</v>
      </c>
      <c r="R282" s="9">
        <v>0</v>
      </c>
      <c r="S282" s="9">
        <v>0</v>
      </c>
      <c r="T282" s="0" t="inlineStr">
        <is>
          <t xml:space="preserve">ZERO_RESIDUAL_NO_SALE</t>
        </is>
      </c>
      <c r="U282" s="9">
        <v>2558509876.1571946</v>
      </c>
      <c r="V282" s="9">
        <v>0</v>
      </c>
      <c r="W282" s="9">
        <v>0</v>
      </c>
      <c r="X282" s="9">
        <v>0</v>
      </c>
    </row>
    <row r="283">
      <c r="A283" s="0" t="inlineStr">
        <is>
          <t xml:space="preserve">VG-018</t>
        </is>
      </c>
      <c r="B283" s="23">
        <v>9</v>
      </c>
      <c r="C283" s="9">
        <v>3323399336.050667</v>
      </c>
      <c r="D283" s="9">
        <v>505278108.0572271</v>
      </c>
      <c r="E283" s="9">
        <v>1552608175.5050504</v>
      </c>
      <c r="F283" s="9">
        <v>1265513052.4883893</v>
      </c>
      <c r="G283" s="9">
        <v>0</v>
      </c>
      <c r="H283" s="9">
        <v>0</v>
      </c>
      <c r="I283" s="9">
        <v>253102610.49767786</v>
      </c>
      <c r="J283" s="9">
        <v>273156109.8123836</v>
      </c>
      <c r="K283" s="9">
        <v>1345462.7031906247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0" t="inlineStr">
        <is>
          <t xml:space="preserve">ZERO_RESIDUAL_NO_SALE</t>
        </is>
      </c>
      <c r="U283" s="9">
        <v>2563673154.792571</v>
      </c>
      <c r="V283" s="9">
        <v>0</v>
      </c>
      <c r="W283" s="9">
        <v>0</v>
      </c>
      <c r="X283" s="9">
        <v>0</v>
      </c>
    </row>
    <row r="284">
      <c r="A284" s="0" t="inlineStr">
        <is>
          <t xml:space="preserve">VG-018</t>
        </is>
      </c>
      <c r="B284" s="23">
        <v>10</v>
      </c>
      <c r="C284" s="9">
        <v>3339850162.764117</v>
      </c>
      <c r="D284" s="9">
        <v>515383670.2183716</v>
      </c>
      <c r="E284" s="9">
        <v>1552608175.5050504</v>
      </c>
      <c r="F284" s="9">
        <v>1271858317.0406945</v>
      </c>
      <c r="G284" s="9">
        <v>0</v>
      </c>
      <c r="H284" s="9">
        <v>0</v>
      </c>
      <c r="I284" s="9">
        <v>254371663.4081389</v>
      </c>
      <c r="J284" s="9">
        <v>274508232.5559548</v>
      </c>
      <c r="K284" s="9">
        <v>1352122.7435712218</v>
      </c>
      <c r="L284" s="9">
        <v>0</v>
      </c>
      <c r="M284" s="9">
        <v>0</v>
      </c>
      <c r="N284" s="9">
        <v>0</v>
      </c>
      <c r="O284" s="9">
        <v>0</v>
      </c>
      <c r="P284" s="9">
        <v>0</v>
      </c>
      <c r="Q284" s="9">
        <v>116445613.16287878</v>
      </c>
      <c r="R284" s="9">
        <v>0</v>
      </c>
      <c r="S284" s="9">
        <v>0</v>
      </c>
      <c r="T284" s="0" t="inlineStr">
        <is>
          <t xml:space="preserve">ZERO_RESIDUAL_NO_SALE</t>
        </is>
      </c>
      <c r="U284" s="9">
        <v>2452297093.231156</v>
      </c>
      <c r="V284" s="9">
        <v>0</v>
      </c>
      <c r="W284" s="9">
        <v>0</v>
      </c>
      <c r="X284" s="9">
        <v>0</v>
      </c>
    </row>
    <row r="285">
      <c r="A285" s="0" t="inlineStr">
        <is>
          <t xml:space="preserve">VG-018</t>
        </is>
      </c>
      <c r="B285" s="23">
        <v>11</v>
      </c>
      <c r="C285" s="9">
        <v>3356382421.0697994</v>
      </c>
      <c r="D285" s="9">
        <v>525691343.6227391</v>
      </c>
      <c r="E285" s="9">
        <v>1552608175.5050504</v>
      </c>
      <c r="F285" s="9">
        <v>1278082901.9420102</v>
      </c>
      <c r="G285" s="9">
        <v>0</v>
      </c>
      <c r="H285" s="9">
        <v>0</v>
      </c>
      <c r="I285" s="9">
        <v>255616580.38840204</v>
      </c>
      <c r="J285" s="9">
        <v>275867048.3071068</v>
      </c>
      <c r="K285" s="9">
        <v>1358815.751151979</v>
      </c>
      <c r="L285" s="9">
        <v>0</v>
      </c>
      <c r="M285" s="9">
        <v>0</v>
      </c>
      <c r="N285" s="9">
        <v>0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0" t="inlineStr">
        <is>
          <t xml:space="preserve">ZERO_RESIDUAL_NO_SALE</t>
        </is>
      </c>
      <c r="U285" s="9">
        <v>2573715681.3075066</v>
      </c>
      <c r="V285" s="9">
        <v>0</v>
      </c>
      <c r="W285" s="9">
        <v>0</v>
      </c>
      <c r="X285" s="9">
        <v>0</v>
      </c>
    </row>
    <row r="286">
      <c r="A286" s="0" t="inlineStr">
        <is>
          <t xml:space="preserve">VG-018</t>
        </is>
      </c>
      <c r="B286" s="23">
        <v>12</v>
      </c>
      <c r="C286" s="9">
        <v>3372996514.054095</v>
      </c>
      <c r="D286" s="9">
        <v>536205170.4951939</v>
      </c>
      <c r="E286" s="9">
        <v>1552608175.5050504</v>
      </c>
      <c r="F286" s="9">
        <v>1284183168.0538504</v>
      </c>
      <c r="G286" s="9">
        <v>0</v>
      </c>
      <c r="H286" s="9">
        <v>0</v>
      </c>
      <c r="I286" s="9">
        <v>256836633.6107701</v>
      </c>
      <c r="J286" s="9">
        <v>277232590.19622695</v>
      </c>
      <c r="K286" s="9">
        <v>1365541.8891201615</v>
      </c>
      <c r="L286" s="9">
        <v>0</v>
      </c>
      <c r="M286" s="9">
        <v>0</v>
      </c>
      <c r="N286" s="9">
        <v>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0" t="inlineStr">
        <is>
          <t xml:space="preserve">ZERO_RESIDUAL_NO_SALE</t>
        </is>
      </c>
      <c r="U286" s="9">
        <v>2578589168.0590105</v>
      </c>
      <c r="V286" s="9">
        <v>0</v>
      </c>
      <c r="W286" s="9">
        <v>0</v>
      </c>
      <c r="X286" s="9">
        <v>0</v>
      </c>
    </row>
    <row r="287">
      <c r="A287" s="0" t="inlineStr">
        <is>
          <t xml:space="preserve">VG-018</t>
        </is>
      </c>
      <c r="B287" s="23">
        <v>13</v>
      </c>
      <c r="C287" s="9">
        <v>3389692846.798662</v>
      </c>
      <c r="D287" s="9">
        <v>546929273.9050977</v>
      </c>
      <c r="E287" s="9">
        <v>1552608175.5050504</v>
      </c>
      <c r="F287" s="9">
        <v>1290155397.3885138</v>
      </c>
      <c r="G287" s="9">
        <v>0</v>
      </c>
      <c r="H287" s="9">
        <v>0</v>
      </c>
      <c r="I287" s="9">
        <v>258031079.47770277</v>
      </c>
      <c r="J287" s="9">
        <v>278604891.5176983</v>
      </c>
      <c r="K287" s="9">
        <v>1372301.3214713335</v>
      </c>
      <c r="L287" s="9">
        <v>0</v>
      </c>
      <c r="M287" s="9">
        <v>0</v>
      </c>
      <c r="N287" s="9">
        <v>0</v>
      </c>
      <c r="O287" s="9">
        <v>0</v>
      </c>
      <c r="P287" s="9">
        <v>0</v>
      </c>
      <c r="Q287" s="9">
        <v>0</v>
      </c>
      <c r="R287" s="9">
        <v>0</v>
      </c>
      <c r="S287" s="9">
        <v>0</v>
      </c>
      <c r="T287" s="0" t="inlineStr">
        <is>
          <t xml:space="preserve">ZERO_RESIDUAL_NO_SALE</t>
        </is>
      </c>
      <c r="U287" s="9">
        <v>2583360192.0943904</v>
      </c>
      <c r="V287" s="9">
        <v>0</v>
      </c>
      <c r="W287" s="9">
        <v>0</v>
      </c>
      <c r="X287" s="9">
        <v>0</v>
      </c>
    </row>
    <row r="288">
      <c r="A288" s="0" t="inlineStr">
        <is>
          <t xml:space="preserve">VG-018</t>
        </is>
      </c>
      <c r="B288" s="23">
        <v>14</v>
      </c>
      <c r="C288" s="9">
        <v>3406471826.390316</v>
      </c>
      <c r="D288" s="9">
        <v>557867859.3831998</v>
      </c>
      <c r="E288" s="9">
        <v>1552608175.5050504</v>
      </c>
      <c r="F288" s="9">
        <v>1295995791.502066</v>
      </c>
      <c r="G288" s="9">
        <v>0</v>
      </c>
      <c r="H288" s="9">
        <v>0</v>
      </c>
      <c r="I288" s="9">
        <v>259199158.3004132</v>
      </c>
      <c r="J288" s="9">
        <v>279983985.73071086</v>
      </c>
      <c r="K288" s="9">
        <v>1379094.213012576</v>
      </c>
      <c r="L288" s="9">
        <v>0</v>
      </c>
      <c r="M288" s="9">
        <v>0</v>
      </c>
      <c r="N288" s="9">
        <v>0</v>
      </c>
      <c r="O288" s="9">
        <v>0</v>
      </c>
      <c r="P288" s="9">
        <v>0</v>
      </c>
      <c r="Q288" s="9">
        <v>0</v>
      </c>
      <c r="R288" s="9">
        <v>0</v>
      </c>
      <c r="S288" s="9">
        <v>0</v>
      </c>
      <c r="T288" s="0" t="inlineStr">
        <is>
          <t xml:space="preserve">ZERO_RESIDUAL_NO_SALE</t>
        </is>
      </c>
      <c r="U288" s="9">
        <v>2588025714.4936905</v>
      </c>
      <c r="V288" s="9">
        <v>0</v>
      </c>
      <c r="W288" s="9">
        <v>0</v>
      </c>
      <c r="X288" s="9">
        <v>0</v>
      </c>
    </row>
    <row r="289">
      <c r="A289" s="0" t="inlineStr">
        <is>
          <t xml:space="preserve">VG-018</t>
        </is>
      </c>
      <c r="B289" s="23">
        <v>15</v>
      </c>
      <c r="C289" s="9">
        <v>3423333861.9309487</v>
      </c>
      <c r="D289" s="9">
        <v>569025216.5708637</v>
      </c>
      <c r="E289" s="9">
        <v>1552608175.5050504</v>
      </c>
      <c r="F289" s="9">
        <v>1301700469.8550346</v>
      </c>
      <c r="G289" s="9">
        <v>0</v>
      </c>
      <c r="H289" s="9">
        <v>0</v>
      </c>
      <c r="I289" s="9">
        <v>260340093.97100693</v>
      </c>
      <c r="J289" s="9">
        <v>0</v>
      </c>
      <c r="K289" s="9">
        <v>-279983985.73071086</v>
      </c>
      <c r="L289" s="9">
        <v>0</v>
      </c>
      <c r="M289" s="9">
        <v>0</v>
      </c>
      <c r="N289" s="9">
        <v>0</v>
      </c>
      <c r="O289" s="9">
        <v>0</v>
      </c>
      <c r="P289" s="9">
        <v>0</v>
      </c>
      <c r="Q289" s="9">
        <v>0</v>
      </c>
      <c r="R289" s="9">
        <v>0</v>
      </c>
      <c r="S289" s="9">
        <v>279983985.73071086</v>
      </c>
      <c r="T289" s="0" t="inlineStr">
        <is>
          <t xml:space="preserve">ZERO_RESIDUAL_NO_SALE</t>
        </is>
      </c>
      <c r="U289" s="9">
        <v>2873952537.119789</v>
      </c>
      <c r="V289" s="9">
        <v>0</v>
      </c>
      <c r="W289" s="9">
        <v>0</v>
      </c>
      <c r="X289" s="9">
        <v>0</v>
      </c>
    </row>
    <row r="290">
      <c r="A290" s="0" t="inlineStr">
        <is>
          <t xml:space="preserve">VG-019</t>
        </is>
      </c>
      <c r="B290" s="23">
        <v>0</v>
      </c>
      <c r="C290" s="9">
        <v>0</v>
      </c>
      <c r="D290" s="9">
        <v>0</v>
      </c>
      <c r="E290" s="9">
        <v>0</v>
      </c>
      <c r="F290" s="9">
        <v>0</v>
      </c>
      <c r="G290" s="9">
        <v>0</v>
      </c>
      <c r="H290" s="9">
        <v>0</v>
      </c>
      <c r="I290" s="9">
        <v>0</v>
      </c>
      <c r="J290" s="9">
        <v>0</v>
      </c>
      <c r="K290" s="9">
        <v>0</v>
      </c>
      <c r="L290" s="9">
        <v>23292390625</v>
      </c>
      <c r="M290" s="9">
        <v>21263981534.090908</v>
      </c>
      <c r="N290" s="9">
        <v>2028409090.909093</v>
      </c>
      <c r="O290" s="9">
        <v>22312500000</v>
      </c>
      <c r="P290" s="9">
        <v>979890625.0000001</v>
      </c>
      <c r="Q290" s="9">
        <v>0</v>
      </c>
      <c r="R290" s="9">
        <v>0</v>
      </c>
      <c r="S290" s="9">
        <v>0</v>
      </c>
      <c r="T290" s="0" t="inlineStr">
        <is>
          <t xml:space="preserve">ZERO_RESIDUAL_NO_SALE</t>
        </is>
      </c>
      <c r="U290" s="9">
        <v>0</v>
      </c>
      <c r="V290" s="9">
        <v>23292390625</v>
      </c>
      <c r="W290" s="9">
        <v>23292390625</v>
      </c>
      <c r="X290" s="9">
        <v>0</v>
      </c>
    </row>
    <row r="291">
      <c r="A291" s="0" t="inlineStr">
        <is>
          <t xml:space="preserve">VG-019</t>
        </is>
      </c>
      <c r="B291" s="23">
        <v>1</v>
      </c>
      <c r="C291" s="9">
        <v>3129102900</v>
      </c>
      <c r="D291" s="9">
        <v>393750000</v>
      </c>
      <c r="E291" s="9">
        <v>1417598768.9393938</v>
      </c>
      <c r="F291" s="9">
        <v>1317754131.0606062</v>
      </c>
      <c r="G291" s="9">
        <v>0</v>
      </c>
      <c r="H291" s="9">
        <v>0</v>
      </c>
      <c r="I291" s="9">
        <v>263550826.21212125</v>
      </c>
      <c r="J291" s="9">
        <v>257186539.7260274</v>
      </c>
      <c r="K291" s="9">
        <v>257186539.7260274</v>
      </c>
      <c r="L291" s="9">
        <v>0</v>
      </c>
      <c r="M291" s="9">
        <v>0</v>
      </c>
      <c r="N291" s="9">
        <v>0</v>
      </c>
      <c r="O291" s="9">
        <v>0</v>
      </c>
      <c r="P291" s="9">
        <v>0</v>
      </c>
      <c r="Q291" s="9">
        <v>0</v>
      </c>
      <c r="R291" s="9">
        <v>0</v>
      </c>
      <c r="S291" s="9">
        <v>0</v>
      </c>
      <c r="T291" s="0" t="inlineStr">
        <is>
          <t xml:space="preserve">ZERO_RESIDUAL_NO_SALE</t>
        </is>
      </c>
      <c r="U291" s="9">
        <v>2214615534.0618515</v>
      </c>
      <c r="V291" s="9">
        <v>0</v>
      </c>
      <c r="W291" s="9">
        <v>0</v>
      </c>
      <c r="X291" s="9">
        <v>0</v>
      </c>
    </row>
    <row r="292">
      <c r="A292" s="0" t="inlineStr">
        <is>
          <t xml:space="preserve">VG-019</t>
        </is>
      </c>
      <c r="B292" s="23">
        <v>2</v>
      </c>
      <c r="C292" s="9">
        <v>3144591959.355</v>
      </c>
      <c r="D292" s="9">
        <v>401625000</v>
      </c>
      <c r="E292" s="9">
        <v>1417598768.9393938</v>
      </c>
      <c r="F292" s="9">
        <v>1325368190.4156063</v>
      </c>
      <c r="G292" s="9">
        <v>0</v>
      </c>
      <c r="H292" s="9">
        <v>0</v>
      </c>
      <c r="I292" s="9">
        <v>265073638.08312127</v>
      </c>
      <c r="J292" s="9">
        <v>258459613.0976712</v>
      </c>
      <c r="K292" s="9">
        <v>1273073.3716438115</v>
      </c>
      <c r="L292" s="9">
        <v>0</v>
      </c>
      <c r="M292" s="9">
        <v>0</v>
      </c>
      <c r="N292" s="9">
        <v>0</v>
      </c>
      <c r="O292" s="9">
        <v>0</v>
      </c>
      <c r="P292" s="9">
        <v>0</v>
      </c>
      <c r="Q292" s="9">
        <v>0</v>
      </c>
      <c r="R292" s="9">
        <v>0</v>
      </c>
      <c r="S292" s="9">
        <v>0</v>
      </c>
      <c r="T292" s="0" t="inlineStr">
        <is>
          <t xml:space="preserve">ZERO_RESIDUAL_NO_SALE</t>
        </is>
      </c>
      <c r="U292" s="9">
        <v>2476620247.9002347</v>
      </c>
      <c r="V292" s="9">
        <v>0</v>
      </c>
      <c r="W292" s="9">
        <v>0</v>
      </c>
      <c r="X292" s="9">
        <v>0</v>
      </c>
    </row>
    <row r="293">
      <c r="A293" s="0" t="inlineStr">
        <is>
          <t xml:space="preserve">VG-019</t>
        </is>
      </c>
      <c r="B293" s="23">
        <v>3</v>
      </c>
      <c r="C293" s="9">
        <v>3160157689.5538077</v>
      </c>
      <c r="D293" s="9">
        <v>409657500</v>
      </c>
      <c r="E293" s="9">
        <v>1417598768.9393938</v>
      </c>
      <c r="F293" s="9">
        <v>1332901420.614414</v>
      </c>
      <c r="G293" s="9">
        <v>0</v>
      </c>
      <c r="H293" s="9">
        <v>0</v>
      </c>
      <c r="I293" s="9">
        <v>266580284.1228828</v>
      </c>
      <c r="J293" s="9">
        <v>259738988.18250474</v>
      </c>
      <c r="K293" s="9">
        <v>1279375.0848335326</v>
      </c>
      <c r="L293" s="9">
        <v>0</v>
      </c>
      <c r="M293" s="9">
        <v>0</v>
      </c>
      <c r="N293" s="9">
        <v>0</v>
      </c>
      <c r="O293" s="9">
        <v>0</v>
      </c>
      <c r="P293" s="9">
        <v>0</v>
      </c>
      <c r="Q293" s="9">
        <v>0</v>
      </c>
      <c r="R293" s="9">
        <v>0</v>
      </c>
      <c r="S293" s="9">
        <v>0</v>
      </c>
      <c r="T293" s="0" t="inlineStr">
        <is>
          <t xml:space="preserve">ZERO_RESIDUAL_NO_SALE</t>
        </is>
      </c>
      <c r="U293" s="9">
        <v>2482640530.3460913</v>
      </c>
      <c r="V293" s="9">
        <v>0</v>
      </c>
      <c r="W293" s="9">
        <v>0</v>
      </c>
      <c r="X293" s="9">
        <v>0</v>
      </c>
    </row>
    <row r="294">
      <c r="A294" s="0" t="inlineStr">
        <is>
          <t xml:space="preserve">VG-019</t>
        </is>
      </c>
      <c r="B294" s="23">
        <v>4</v>
      </c>
      <c r="C294" s="9">
        <v>3175800470.117099</v>
      </c>
      <c r="D294" s="9">
        <v>417850650.00000006</v>
      </c>
      <c r="E294" s="9">
        <v>1417598768.9393938</v>
      </c>
      <c r="F294" s="9">
        <v>1340351051.177705</v>
      </c>
      <c r="G294" s="9">
        <v>0</v>
      </c>
      <c r="H294" s="9">
        <v>0</v>
      </c>
      <c r="I294" s="9">
        <v>268070210.23554102</v>
      </c>
      <c r="J294" s="9">
        <v>261024696.17400813</v>
      </c>
      <c r="K294" s="9">
        <v>1285707.9915033877</v>
      </c>
      <c r="L294" s="9">
        <v>0</v>
      </c>
      <c r="M294" s="9">
        <v>0</v>
      </c>
      <c r="N294" s="9">
        <v>0</v>
      </c>
      <c r="O294" s="9">
        <v>0</v>
      </c>
      <c r="P294" s="9">
        <v>0</v>
      </c>
      <c r="Q294" s="9">
        <v>0</v>
      </c>
      <c r="R294" s="9">
        <v>0</v>
      </c>
      <c r="S294" s="9">
        <v>0</v>
      </c>
      <c r="T294" s="0" t="inlineStr">
        <is>
          <t xml:space="preserve">ZERO_RESIDUAL_NO_SALE</t>
        </is>
      </c>
      <c r="U294" s="9">
        <v>2488593901.8900547</v>
      </c>
      <c r="V294" s="9">
        <v>0</v>
      </c>
      <c r="W294" s="9">
        <v>0</v>
      </c>
      <c r="X294" s="9">
        <v>0</v>
      </c>
    </row>
    <row r="295">
      <c r="A295" s="0" t="inlineStr">
        <is>
          <t xml:space="preserve">VG-019</t>
        </is>
      </c>
      <c r="B295" s="23">
        <v>5</v>
      </c>
      <c r="C295" s="9">
        <v>3191520682.444178</v>
      </c>
      <c r="D295" s="9">
        <v>426207663</v>
      </c>
      <c r="E295" s="9">
        <v>1417598768.9393938</v>
      </c>
      <c r="F295" s="9">
        <v>1347714250.5047843</v>
      </c>
      <c r="G295" s="9">
        <v>0</v>
      </c>
      <c r="H295" s="9">
        <v>0</v>
      </c>
      <c r="I295" s="9">
        <v>269542850.10095686</v>
      </c>
      <c r="J295" s="9">
        <v>262316768.42006946</v>
      </c>
      <c r="K295" s="9">
        <v>1292072.246061325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v>106319907.67045455</v>
      </c>
      <c r="R295" s="9">
        <v>0</v>
      </c>
      <c r="S295" s="9">
        <v>0</v>
      </c>
      <c r="T295" s="0" t="inlineStr">
        <is>
          <t xml:space="preserve">ZERO_RESIDUAL_NO_SALE</t>
        </is>
      </c>
      <c r="U295" s="9">
        <v>2388158189.4267054</v>
      </c>
      <c r="V295" s="9">
        <v>0</v>
      </c>
      <c r="W295" s="9">
        <v>0</v>
      </c>
      <c r="X295" s="9">
        <v>0</v>
      </c>
    </row>
    <row r="296">
      <c r="A296" s="0" t="inlineStr">
        <is>
          <t xml:space="preserve">VG-019</t>
        </is>
      </c>
      <c r="B296" s="23">
        <v>6</v>
      </c>
      <c r="C296" s="9">
        <v>3207318709.8222775</v>
      </c>
      <c r="D296" s="9">
        <v>434731816.26</v>
      </c>
      <c r="E296" s="9">
        <v>1417598768.9393938</v>
      </c>
      <c r="F296" s="9">
        <v>1354988124.622884</v>
      </c>
      <c r="G296" s="9">
        <v>0</v>
      </c>
      <c r="H296" s="9">
        <v>0</v>
      </c>
      <c r="I296" s="9">
        <v>270997624.9245768</v>
      </c>
      <c r="J296" s="9">
        <v>263615236.42374882</v>
      </c>
      <c r="K296" s="9">
        <v>1298468.003679365</v>
      </c>
      <c r="L296" s="9">
        <v>0</v>
      </c>
      <c r="M296" s="9">
        <v>0</v>
      </c>
      <c r="N296" s="9">
        <v>0</v>
      </c>
      <c r="O296" s="9">
        <v>0</v>
      </c>
      <c r="P296" s="9">
        <v>0</v>
      </c>
      <c r="Q296" s="9">
        <v>0</v>
      </c>
      <c r="R296" s="9">
        <v>0</v>
      </c>
      <c r="S296" s="9">
        <v>0</v>
      </c>
      <c r="T296" s="0" t="inlineStr">
        <is>
          <t xml:space="preserve">ZERO_RESIDUAL_NO_SALE</t>
        </is>
      </c>
      <c r="U296" s="9">
        <v>2500290800.6340218</v>
      </c>
      <c r="V296" s="9">
        <v>0</v>
      </c>
      <c r="W296" s="9">
        <v>0</v>
      </c>
      <c r="X296" s="9">
        <v>0</v>
      </c>
    </row>
    <row r="297">
      <c r="A297" s="0" t="inlineStr">
        <is>
          <t xml:space="preserve">VG-019</t>
        </is>
      </c>
      <c r="B297" s="23">
        <v>7</v>
      </c>
      <c r="C297" s="9">
        <v>3223194937.435898</v>
      </c>
      <c r="D297" s="9">
        <v>443426452.5852</v>
      </c>
      <c r="E297" s="9">
        <v>1417598768.9393938</v>
      </c>
      <c r="F297" s="9">
        <v>1362169715.9113042</v>
      </c>
      <c r="G297" s="9">
        <v>0</v>
      </c>
      <c r="H297" s="9">
        <v>0</v>
      </c>
      <c r="I297" s="9">
        <v>272433943.1822609</v>
      </c>
      <c r="J297" s="9">
        <v>264920131.84404638</v>
      </c>
      <c r="K297" s="9">
        <v>1304895.420297563</v>
      </c>
      <c r="L297" s="9">
        <v>0</v>
      </c>
      <c r="M297" s="9">
        <v>0</v>
      </c>
      <c r="N297" s="9">
        <v>0</v>
      </c>
      <c r="O297" s="9">
        <v>0</v>
      </c>
      <c r="P297" s="9">
        <v>0</v>
      </c>
      <c r="Q297" s="9">
        <v>0</v>
      </c>
      <c r="R297" s="9">
        <v>0</v>
      </c>
      <c r="S297" s="9">
        <v>0</v>
      </c>
      <c r="T297" s="0" t="inlineStr">
        <is>
          <t xml:space="preserve">ZERO_RESIDUAL_NO_SALE</t>
        </is>
      </c>
      <c r="U297" s="9">
        <v>2506029646.2481394</v>
      </c>
      <c r="V297" s="9">
        <v>0</v>
      </c>
      <c r="W297" s="9">
        <v>0</v>
      </c>
      <c r="X297" s="9">
        <v>0</v>
      </c>
    </row>
    <row r="298">
      <c r="A298" s="0" t="inlineStr">
        <is>
          <t xml:space="preserve">VG-019</t>
        </is>
      </c>
      <c r="B298" s="23">
        <v>8</v>
      </c>
      <c r="C298" s="9">
        <v>3239149752.376205</v>
      </c>
      <c r="D298" s="9">
        <v>452294981.636904</v>
      </c>
      <c r="E298" s="9">
        <v>1417598768.9393938</v>
      </c>
      <c r="F298" s="9">
        <v>1369256001.799907</v>
      </c>
      <c r="G298" s="9">
        <v>0</v>
      </c>
      <c r="H298" s="9">
        <v>0</v>
      </c>
      <c r="I298" s="9">
        <v>273851200.3599814</v>
      </c>
      <c r="J298" s="9">
        <v>266231486.4966744</v>
      </c>
      <c r="K298" s="9">
        <v>1311354.6526280046</v>
      </c>
      <c r="L298" s="9">
        <v>0</v>
      </c>
      <c r="M298" s="9">
        <v>0</v>
      </c>
      <c r="N298" s="9">
        <v>0</v>
      </c>
      <c r="O298" s="9">
        <v>0</v>
      </c>
      <c r="P298" s="9">
        <v>0</v>
      </c>
      <c r="Q298" s="9">
        <v>0</v>
      </c>
      <c r="R298" s="9">
        <v>0</v>
      </c>
      <c r="S298" s="9">
        <v>0</v>
      </c>
      <c r="T298" s="0" t="inlineStr">
        <is>
          <t xml:space="preserve">ZERO_RESIDUAL_NO_SALE</t>
        </is>
      </c>
      <c r="U298" s="9">
        <v>2511692215.7266912</v>
      </c>
      <c r="V298" s="9">
        <v>0</v>
      </c>
      <c r="W298" s="9">
        <v>0</v>
      </c>
      <c r="X298" s="9">
        <v>0</v>
      </c>
    </row>
    <row r="299">
      <c r="A299" s="0" t="inlineStr">
        <is>
          <t xml:space="preserve">VG-019</t>
        </is>
      </c>
      <c r="B299" s="23">
        <v>9</v>
      </c>
      <c r="C299" s="9">
        <v>3255183543.6504674</v>
      </c>
      <c r="D299" s="9">
        <v>461340881.2696421</v>
      </c>
      <c r="E299" s="9">
        <v>1417598768.9393938</v>
      </c>
      <c r="F299" s="9">
        <v>1376243893.4414313</v>
      </c>
      <c r="G299" s="9">
        <v>0</v>
      </c>
      <c r="H299" s="9">
        <v>0</v>
      </c>
      <c r="I299" s="9">
        <v>275248778.68828624</v>
      </c>
      <c r="J299" s="9">
        <v>267549332.35483295</v>
      </c>
      <c r="K299" s="9">
        <v>1317845.8581585586</v>
      </c>
      <c r="L299" s="9">
        <v>0</v>
      </c>
      <c r="M299" s="9">
        <v>0</v>
      </c>
      <c r="N299" s="9">
        <v>0</v>
      </c>
      <c r="O299" s="9">
        <v>0</v>
      </c>
      <c r="P299" s="9">
        <v>0</v>
      </c>
      <c r="Q299" s="9">
        <v>0</v>
      </c>
      <c r="R299" s="9">
        <v>0</v>
      </c>
      <c r="S299" s="9">
        <v>0</v>
      </c>
      <c r="T299" s="0" t="inlineStr">
        <is>
          <t xml:space="preserve">ZERO_RESIDUAL_NO_SALE</t>
        </is>
      </c>
      <c r="U299" s="9">
        <v>2517276037.83438</v>
      </c>
      <c r="V299" s="9">
        <v>0</v>
      </c>
      <c r="W299" s="9">
        <v>0</v>
      </c>
      <c r="X299" s="9">
        <v>0</v>
      </c>
    </row>
    <row r="300">
      <c r="A300" s="0" t="inlineStr">
        <is>
          <t xml:space="preserve">VG-019</t>
        </is>
      </c>
      <c r="B300" s="23">
        <v>10</v>
      </c>
      <c r="C300" s="9">
        <v>3271296702.191537</v>
      </c>
      <c r="D300" s="9">
        <v>470567698.89503497</v>
      </c>
      <c r="E300" s="9">
        <v>1417598768.9393938</v>
      </c>
      <c r="F300" s="9">
        <v>1383130234.3571084</v>
      </c>
      <c r="G300" s="9">
        <v>0</v>
      </c>
      <c r="H300" s="9">
        <v>0</v>
      </c>
      <c r="I300" s="9">
        <v>276626046.8714217</v>
      </c>
      <c r="J300" s="9">
        <v>268873701.54998934</v>
      </c>
      <c r="K300" s="9">
        <v>1324369.1951563954</v>
      </c>
      <c r="L300" s="9">
        <v>0</v>
      </c>
      <c r="M300" s="9">
        <v>0</v>
      </c>
      <c r="N300" s="9">
        <v>0</v>
      </c>
      <c r="O300" s="9">
        <v>0</v>
      </c>
      <c r="P300" s="9">
        <v>0</v>
      </c>
      <c r="Q300" s="9">
        <v>106319907.67045455</v>
      </c>
      <c r="R300" s="9">
        <v>0</v>
      </c>
      <c r="S300" s="9">
        <v>0</v>
      </c>
      <c r="T300" s="0" t="inlineStr">
        <is>
          <t xml:space="preserve">ZERO_RESIDUAL_NO_SALE</t>
        </is>
      </c>
      <c r="U300" s="9">
        <v>2416458679.559469</v>
      </c>
      <c r="V300" s="9">
        <v>0</v>
      </c>
      <c r="W300" s="9">
        <v>0</v>
      </c>
      <c r="X300" s="9">
        <v>0</v>
      </c>
    </row>
    <row r="301">
      <c r="A301" s="0" t="inlineStr">
        <is>
          <t xml:space="preserve">VG-019</t>
        </is>
      </c>
      <c r="B301" s="23">
        <v>11</v>
      </c>
      <c r="C301" s="9">
        <v>3287489620.8673854</v>
      </c>
      <c r="D301" s="9">
        <v>479979052.8729357</v>
      </c>
      <c r="E301" s="9">
        <v>1417598768.9393938</v>
      </c>
      <c r="F301" s="9">
        <v>1389911799.0550559</v>
      </c>
      <c r="G301" s="9">
        <v>0</v>
      </c>
      <c r="H301" s="9">
        <v>0</v>
      </c>
      <c r="I301" s="9">
        <v>277982359.8110112</v>
      </c>
      <c r="J301" s="9">
        <v>270204626.3726618</v>
      </c>
      <c r="K301" s="9">
        <v>1330924.8226724863</v>
      </c>
      <c r="L301" s="9">
        <v>0</v>
      </c>
      <c r="M301" s="9">
        <v>0</v>
      </c>
      <c r="N301" s="9">
        <v>0</v>
      </c>
      <c r="O301" s="9">
        <v>0</v>
      </c>
      <c r="P301" s="9">
        <v>0</v>
      </c>
      <c r="Q301" s="9">
        <v>0</v>
      </c>
      <c r="R301" s="9">
        <v>0</v>
      </c>
      <c r="S301" s="9">
        <v>0</v>
      </c>
      <c r="T301" s="0" t="inlineStr">
        <is>
          <t xml:space="preserve">ZERO_RESIDUAL_NO_SALE</t>
        </is>
      </c>
      <c r="U301" s="9">
        <v>2528197283.360766</v>
      </c>
      <c r="V301" s="9">
        <v>0</v>
      </c>
      <c r="W301" s="9">
        <v>0</v>
      </c>
      <c r="X301" s="9">
        <v>0</v>
      </c>
    </row>
    <row r="302">
      <c r="A302" s="0" t="inlineStr">
        <is>
          <t xml:space="preserve">VG-019</t>
        </is>
      </c>
      <c r="B302" s="23">
        <v>12</v>
      </c>
      <c r="C302" s="9">
        <v>3303762694.4906783</v>
      </c>
      <c r="D302" s="9">
        <v>489578633.9303944</v>
      </c>
      <c r="E302" s="9">
        <v>1417598768.9393938</v>
      </c>
      <c r="F302" s="9">
        <v>1396585291.62089</v>
      </c>
      <c r="G302" s="9">
        <v>0</v>
      </c>
      <c r="H302" s="9">
        <v>0</v>
      </c>
      <c r="I302" s="9">
        <v>279317058.324178</v>
      </c>
      <c r="J302" s="9">
        <v>271542139.2732065</v>
      </c>
      <c r="K302" s="9">
        <v>1337512.9005446434</v>
      </c>
      <c r="L302" s="9">
        <v>0</v>
      </c>
      <c r="M302" s="9">
        <v>0</v>
      </c>
      <c r="N302" s="9">
        <v>0</v>
      </c>
      <c r="O302" s="9">
        <v>0</v>
      </c>
      <c r="P302" s="9">
        <v>0</v>
      </c>
      <c r="Q302" s="9">
        <v>0</v>
      </c>
      <c r="R302" s="9">
        <v>0</v>
      </c>
      <c r="S302" s="9">
        <v>0</v>
      </c>
      <c r="T302" s="0" t="inlineStr">
        <is>
          <t xml:space="preserve">ZERO_RESIDUAL_NO_SALE</t>
        </is>
      </c>
      <c r="U302" s="9">
        <v>2533529489.3355613</v>
      </c>
      <c r="V302" s="9">
        <v>0</v>
      </c>
      <c r="W302" s="9">
        <v>0</v>
      </c>
      <c r="X302" s="9">
        <v>0</v>
      </c>
    </row>
    <row r="303">
      <c r="A303" s="0" t="inlineStr">
        <is>
          <t xml:space="preserve">VG-019</t>
        </is>
      </c>
      <c r="B303" s="23">
        <v>13</v>
      </c>
      <c r="C303" s="9">
        <v>3320116319.8284073</v>
      </c>
      <c r="D303" s="9">
        <v>499370206.6090023</v>
      </c>
      <c r="E303" s="9">
        <v>1417598768.9393938</v>
      </c>
      <c r="F303" s="9">
        <v>1403147344.2800114</v>
      </c>
      <c r="G303" s="9">
        <v>0</v>
      </c>
      <c r="H303" s="9">
        <v>0</v>
      </c>
      <c r="I303" s="9">
        <v>280629468.8560023</v>
      </c>
      <c r="J303" s="9">
        <v>272886272.8626088</v>
      </c>
      <c r="K303" s="9">
        <v>1344133.589402318</v>
      </c>
      <c r="L303" s="9">
        <v>0</v>
      </c>
      <c r="M303" s="9">
        <v>0</v>
      </c>
      <c r="N303" s="9">
        <v>0</v>
      </c>
      <c r="O303" s="9">
        <v>0</v>
      </c>
      <c r="P303" s="9">
        <v>0</v>
      </c>
      <c r="Q303" s="9">
        <v>0</v>
      </c>
      <c r="R303" s="9">
        <v>0</v>
      </c>
      <c r="S303" s="9">
        <v>0</v>
      </c>
      <c r="T303" s="0" t="inlineStr">
        <is>
          <t xml:space="preserve">ZERO_RESIDUAL_NO_SALE</t>
        </is>
      </c>
      <c r="U303" s="9">
        <v>2538772510.7740006</v>
      </c>
      <c r="V303" s="9">
        <v>0</v>
      </c>
      <c r="W303" s="9">
        <v>0</v>
      </c>
      <c r="X303" s="9">
        <v>0</v>
      </c>
    </row>
    <row r="304">
      <c r="A304" s="0" t="inlineStr">
        <is>
          <t xml:space="preserve">VG-019</t>
        </is>
      </c>
      <c r="B304" s="23">
        <v>14</v>
      </c>
      <c r="C304" s="9">
        <v>3336550895.611558</v>
      </c>
      <c r="D304" s="9">
        <v>509357610.7411824</v>
      </c>
      <c r="E304" s="9">
        <v>1417598768.9393938</v>
      </c>
      <c r="F304" s="9">
        <v>1409594515.9309819</v>
      </c>
      <c r="G304" s="9">
        <v>0</v>
      </c>
      <c r="H304" s="9">
        <v>0</v>
      </c>
      <c r="I304" s="9">
        <v>281918903.1861964</v>
      </c>
      <c r="J304" s="9">
        <v>274237059.91327876</v>
      </c>
      <c r="K304" s="9">
        <v>1350787.0506699681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0</v>
      </c>
      <c r="S304" s="9">
        <v>0</v>
      </c>
      <c r="T304" s="0" t="inlineStr">
        <is>
          <t xml:space="preserve">ZERO_RESIDUAL_NO_SALE</t>
        </is>
      </c>
      <c r="U304" s="9">
        <v>2543923594.633509</v>
      </c>
      <c r="V304" s="9">
        <v>0</v>
      </c>
      <c r="W304" s="9">
        <v>0</v>
      </c>
      <c r="X304" s="9">
        <v>0</v>
      </c>
    </row>
    <row r="305">
      <c r="A305" s="0" t="inlineStr">
        <is>
          <t xml:space="preserve">VG-019</t>
        </is>
      </c>
      <c r="B305" s="23">
        <v>15</v>
      </c>
      <c r="C305" s="9">
        <v>3353066822.544836</v>
      </c>
      <c r="D305" s="9">
        <v>519544762.956006</v>
      </c>
      <c r="E305" s="9">
        <v>1417598768.9393938</v>
      </c>
      <c r="F305" s="9">
        <v>1415923290.6494362</v>
      </c>
      <c r="G305" s="9">
        <v>0</v>
      </c>
      <c r="H305" s="9">
        <v>0</v>
      </c>
      <c r="I305" s="9">
        <v>283184658.1298873</v>
      </c>
      <c r="J305" s="9">
        <v>0</v>
      </c>
      <c r="K305" s="9">
        <v>-274237059.91327876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0</v>
      </c>
      <c r="S305" s="9">
        <v>274237059.91327876</v>
      </c>
      <c r="T305" s="0" t="inlineStr">
        <is>
          <t xml:space="preserve">ZERO_RESIDUAL_NO_SALE</t>
        </is>
      </c>
      <c r="U305" s="9">
        <v>2824574461.3722215</v>
      </c>
      <c r="V305" s="9">
        <v>0</v>
      </c>
      <c r="W305" s="9">
        <v>0</v>
      </c>
      <c r="X305" s="9">
        <v>0</v>
      </c>
    </row>
    <row r="306">
      <c r="A306" s="0" t="inlineStr">
        <is>
          <t xml:space="preserve">VG-020</t>
        </is>
      </c>
      <c r="B306" s="23">
        <v>0</v>
      </c>
      <c r="C306" s="9">
        <v>0</v>
      </c>
      <c r="D306" s="9">
        <v>0</v>
      </c>
      <c r="E306" s="9">
        <v>0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  <c r="K306" s="9">
        <v>0</v>
      </c>
      <c r="L306" s="9">
        <v>23292390625</v>
      </c>
      <c r="M306" s="9">
        <v>21263981534.090908</v>
      </c>
      <c r="N306" s="9">
        <v>2028409090.909093</v>
      </c>
      <c r="O306" s="9">
        <v>22312500000</v>
      </c>
      <c r="P306" s="9">
        <v>979890625.0000001</v>
      </c>
      <c r="Q306" s="9">
        <v>0</v>
      </c>
      <c r="R306" s="9">
        <v>0</v>
      </c>
      <c r="S306" s="9">
        <v>0</v>
      </c>
      <c r="T306" s="0" t="inlineStr">
        <is>
          <t xml:space="preserve">ZERO_RESIDUAL_NO_SALE</t>
        </is>
      </c>
      <c r="U306" s="9">
        <v>0</v>
      </c>
      <c r="V306" s="9">
        <v>23292390625</v>
      </c>
      <c r="W306" s="9">
        <v>23292390625</v>
      </c>
      <c r="X306" s="9">
        <v>0</v>
      </c>
    </row>
    <row r="307">
      <c r="A307" s="0" t="inlineStr">
        <is>
          <t xml:space="preserve">VG-020</t>
        </is>
      </c>
      <c r="B307" s="23">
        <v>1</v>
      </c>
      <c r="C307" s="9">
        <v>3155582220</v>
      </c>
      <c r="D307" s="9">
        <v>393750000</v>
      </c>
      <c r="E307" s="9">
        <v>1417598768.9393938</v>
      </c>
      <c r="F307" s="9">
        <v>1344233451.0606062</v>
      </c>
      <c r="G307" s="9">
        <v>0</v>
      </c>
      <c r="H307" s="9">
        <v>0</v>
      </c>
      <c r="I307" s="9">
        <v>268846690.21212125</v>
      </c>
      <c r="J307" s="9">
        <v>259362922.19178084</v>
      </c>
      <c r="K307" s="9">
        <v>259362922.19178084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0</v>
      </c>
      <c r="S307" s="9">
        <v>0</v>
      </c>
      <c r="T307" s="0" t="inlineStr">
        <is>
          <t xml:space="preserve">ZERO_RESIDUAL_NO_SALE</t>
        </is>
      </c>
      <c r="U307" s="9">
        <v>2233622607.596098</v>
      </c>
      <c r="V307" s="9">
        <v>0</v>
      </c>
      <c r="W307" s="9">
        <v>0</v>
      </c>
      <c r="X307" s="9">
        <v>0</v>
      </c>
    </row>
    <row r="308">
      <c r="A308" s="0" t="inlineStr">
        <is>
          <t xml:space="preserve">VG-020</t>
        </is>
      </c>
      <c r="B308" s="23">
        <v>2</v>
      </c>
      <c r="C308" s="9">
        <v>3171202351.9890003</v>
      </c>
      <c r="D308" s="9">
        <v>401625000</v>
      </c>
      <c r="E308" s="9">
        <v>1417598768.9393938</v>
      </c>
      <c r="F308" s="9">
        <v>1351978583.0496066</v>
      </c>
      <c r="G308" s="9">
        <v>0</v>
      </c>
      <c r="H308" s="9">
        <v>0</v>
      </c>
      <c r="I308" s="9">
        <v>270395716.60992134</v>
      </c>
      <c r="J308" s="9">
        <v>260646768.6566302</v>
      </c>
      <c r="K308" s="9">
        <v>1283846.4648493528</v>
      </c>
      <c r="L308" s="9">
        <v>0</v>
      </c>
      <c r="M308" s="9">
        <v>0</v>
      </c>
      <c r="N308" s="9">
        <v>0</v>
      </c>
      <c r="O308" s="9">
        <v>0</v>
      </c>
      <c r="P308" s="9">
        <v>0</v>
      </c>
      <c r="Q308" s="9">
        <v>0</v>
      </c>
      <c r="R308" s="9">
        <v>0</v>
      </c>
      <c r="S308" s="9">
        <v>0</v>
      </c>
      <c r="T308" s="0" t="inlineStr">
        <is>
          <t xml:space="preserve">ZERO_RESIDUAL_NO_SALE</t>
        </is>
      </c>
      <c r="U308" s="9">
        <v>2497897788.9142294</v>
      </c>
      <c r="V308" s="9">
        <v>0</v>
      </c>
      <c r="W308" s="9">
        <v>0</v>
      </c>
      <c r="X308" s="9">
        <v>0</v>
      </c>
    </row>
    <row r="309">
      <c r="A309" s="0" t="inlineStr">
        <is>
          <t xml:space="preserve">VG-020</t>
        </is>
      </c>
      <c r="B309" s="23">
        <v>3</v>
      </c>
      <c r="C309" s="9">
        <v>3186899803.6313457</v>
      </c>
      <c r="D309" s="9">
        <v>409657500</v>
      </c>
      <c r="E309" s="9">
        <v>1417598768.9393938</v>
      </c>
      <c r="F309" s="9">
        <v>1359643534.691952</v>
      </c>
      <c r="G309" s="9">
        <v>0</v>
      </c>
      <c r="H309" s="9">
        <v>0</v>
      </c>
      <c r="I309" s="9">
        <v>271928706.93839043</v>
      </c>
      <c r="J309" s="9">
        <v>261936970.16148046</v>
      </c>
      <c r="K309" s="9">
        <v>1290201.5048502684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v>0</v>
      </c>
      <c r="R309" s="9">
        <v>0</v>
      </c>
      <c r="S309" s="9">
        <v>0</v>
      </c>
      <c r="T309" s="0" t="inlineStr">
        <is>
          <t xml:space="preserve">ZERO_RESIDUAL_NO_SALE</t>
        </is>
      </c>
      <c r="U309" s="9">
        <v>2504023395.188105</v>
      </c>
      <c r="V309" s="9">
        <v>0</v>
      </c>
      <c r="W309" s="9">
        <v>0</v>
      </c>
      <c r="X309" s="9">
        <v>0</v>
      </c>
    </row>
    <row r="310">
      <c r="A310" s="0" t="inlineStr">
        <is>
          <t xml:space="preserve">VG-020</t>
        </is>
      </c>
      <c r="B310" s="23">
        <v>4</v>
      </c>
      <c r="C310" s="9">
        <v>3202674957.659322</v>
      </c>
      <c r="D310" s="9">
        <v>417850650.00000006</v>
      </c>
      <c r="E310" s="9">
        <v>1417598768.9393938</v>
      </c>
      <c r="F310" s="9">
        <v>1367225538.719928</v>
      </c>
      <c r="G310" s="9">
        <v>0</v>
      </c>
      <c r="H310" s="9">
        <v>0</v>
      </c>
      <c r="I310" s="9">
        <v>273445107.7439856</v>
      </c>
      <c r="J310" s="9">
        <v>263233558.16377985</v>
      </c>
      <c r="K310" s="9">
        <v>1296588.0022993982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0</v>
      </c>
      <c r="S310" s="9">
        <v>0</v>
      </c>
      <c r="T310" s="0" t="inlineStr">
        <is>
          <t xml:space="preserve">ZERO_RESIDUAL_NO_SALE</t>
        </is>
      </c>
      <c r="U310" s="9">
        <v>2510082611.913037</v>
      </c>
      <c r="V310" s="9">
        <v>0</v>
      </c>
      <c r="W310" s="9">
        <v>0</v>
      </c>
      <c r="X310" s="9">
        <v>0</v>
      </c>
    </row>
    <row r="311">
      <c r="A311" s="0" t="inlineStr">
        <is>
          <t xml:space="preserve">VG-020</t>
        </is>
      </c>
      <c r="B311" s="23">
        <v>5</v>
      </c>
      <c r="C311" s="9">
        <v>3218528198.6997347</v>
      </c>
      <c r="D311" s="9">
        <v>426207663</v>
      </c>
      <c r="E311" s="9">
        <v>1417598768.9393938</v>
      </c>
      <c r="F311" s="9">
        <v>1374721766.760341</v>
      </c>
      <c r="G311" s="9">
        <v>0</v>
      </c>
      <c r="H311" s="9">
        <v>0</v>
      </c>
      <c r="I311" s="9">
        <v>274944353.3520682</v>
      </c>
      <c r="J311" s="9">
        <v>264536564.2766905</v>
      </c>
      <c r="K311" s="9">
        <v>1303006.1129106581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106319907.67045455</v>
      </c>
      <c r="R311" s="9">
        <v>0</v>
      </c>
      <c r="S311" s="9">
        <v>0</v>
      </c>
      <c r="T311" s="0" t="inlineStr">
        <is>
          <t xml:space="preserve">ZERO_RESIDUAL_NO_SALE</t>
        </is>
      </c>
      <c r="U311" s="9">
        <v>2409753268.5643015</v>
      </c>
      <c r="V311" s="9">
        <v>0</v>
      </c>
      <c r="W311" s="9">
        <v>0</v>
      </c>
      <c r="X311" s="9">
        <v>0</v>
      </c>
    </row>
    <row r="312">
      <c r="A312" s="0" t="inlineStr">
        <is>
          <t xml:space="preserve">VG-020</t>
        </is>
      </c>
      <c r="B312" s="23">
        <v>6</v>
      </c>
      <c r="C312" s="9">
        <v>3234459913.2832985</v>
      </c>
      <c r="D312" s="9">
        <v>434731816.26</v>
      </c>
      <c r="E312" s="9">
        <v>1417598768.9393938</v>
      </c>
      <c r="F312" s="9">
        <v>1382129328.0839045</v>
      </c>
      <c r="G312" s="9">
        <v>0</v>
      </c>
      <c r="H312" s="9">
        <v>0</v>
      </c>
      <c r="I312" s="9">
        <v>276425865.61678094</v>
      </c>
      <c r="J312" s="9">
        <v>265846020.26986018</v>
      </c>
      <c r="K312" s="9">
        <v>1309455.9931696653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0</v>
      </c>
      <c r="T312" s="0" t="inlineStr">
        <is>
          <t xml:space="preserve">ZERO_RESIDUAL_NO_SALE</t>
        </is>
      </c>
      <c r="U312" s="9">
        <v>2521992775.4133477</v>
      </c>
      <c r="V312" s="9">
        <v>0</v>
      </c>
      <c r="W312" s="9">
        <v>0</v>
      </c>
      <c r="X312" s="9">
        <v>0</v>
      </c>
    </row>
    <row r="313">
      <c r="A313" s="0" t="inlineStr">
        <is>
          <t xml:space="preserve">VG-020</t>
        </is>
      </c>
      <c r="B313" s="23">
        <v>7</v>
      </c>
      <c r="C313" s="9">
        <v>3250470489.8540506</v>
      </c>
      <c r="D313" s="9">
        <v>443426452.5852</v>
      </c>
      <c r="E313" s="9">
        <v>1417598768.9393938</v>
      </c>
      <c r="F313" s="9">
        <v>1389445268.329457</v>
      </c>
      <c r="G313" s="9">
        <v>0</v>
      </c>
      <c r="H313" s="9">
        <v>0</v>
      </c>
      <c r="I313" s="9">
        <v>277889053.6658914</v>
      </c>
      <c r="J313" s="9">
        <v>267161958.07019594</v>
      </c>
      <c r="K313" s="9">
        <v>1315937.800335765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0</v>
      </c>
      <c r="S313" s="9">
        <v>0</v>
      </c>
      <c r="T313" s="0" t="inlineStr">
        <is>
          <t xml:space="preserve">ZERO_RESIDUAL_NO_SALE</t>
        </is>
      </c>
      <c r="U313" s="9">
        <v>2527839045.8026237</v>
      </c>
      <c r="V313" s="9">
        <v>0</v>
      </c>
      <c r="W313" s="9">
        <v>0</v>
      </c>
      <c r="X313" s="9">
        <v>0</v>
      </c>
    </row>
    <row r="314">
      <c r="A314" s="0" t="inlineStr">
        <is>
          <t xml:space="preserve">VG-020</t>
        </is>
      </c>
      <c r="B314" s="23">
        <v>8</v>
      </c>
      <c r="C314" s="9">
        <v>3266560318.7788277</v>
      </c>
      <c r="D314" s="9">
        <v>452294981.636904</v>
      </c>
      <c r="E314" s="9">
        <v>1417598768.9393938</v>
      </c>
      <c r="F314" s="9">
        <v>1396666568.2025301</v>
      </c>
      <c r="G314" s="9">
        <v>0</v>
      </c>
      <c r="H314" s="9">
        <v>0</v>
      </c>
      <c r="I314" s="9">
        <v>279333313.640506</v>
      </c>
      <c r="J314" s="9">
        <v>268484409.7626434</v>
      </c>
      <c r="K314" s="9">
        <v>1322451.6924474537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v>0</v>
      </c>
      <c r="R314" s="9">
        <v>0</v>
      </c>
      <c r="S314" s="9">
        <v>0</v>
      </c>
      <c r="T314" s="0" t="inlineStr">
        <is>
          <t xml:space="preserve">ZERO_RESIDUAL_NO_SALE</t>
        </is>
      </c>
      <c r="U314" s="9">
        <v>2533609571.8089705</v>
      </c>
      <c r="V314" s="9">
        <v>0</v>
      </c>
      <c r="W314" s="9">
        <v>0</v>
      </c>
      <c r="X314" s="9">
        <v>0</v>
      </c>
    </row>
    <row r="315">
      <c r="A315" s="0" t="inlineStr">
        <is>
          <t xml:space="preserve">VG-020</t>
        </is>
      </c>
      <c r="B315" s="23">
        <v>9</v>
      </c>
      <c r="C315" s="9">
        <v>3282729792.3567834</v>
      </c>
      <c r="D315" s="9">
        <v>461340881.2696421</v>
      </c>
      <c r="E315" s="9">
        <v>1417598768.9393938</v>
      </c>
      <c r="F315" s="9">
        <v>1403790142.1477473</v>
      </c>
      <c r="G315" s="9">
        <v>0</v>
      </c>
      <c r="H315" s="9">
        <v>0</v>
      </c>
      <c r="I315" s="9">
        <v>280758028.42954946</v>
      </c>
      <c r="J315" s="9">
        <v>269813407.5909685</v>
      </c>
      <c r="K315" s="9">
        <v>1328997.8283250928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v>0</v>
      </c>
      <c r="R315" s="9">
        <v>0</v>
      </c>
      <c r="S315" s="9">
        <v>0</v>
      </c>
      <c r="T315" s="0" t="inlineStr">
        <is>
          <t xml:space="preserve">ZERO_RESIDUAL_NO_SALE</t>
        </is>
      </c>
      <c r="U315" s="9">
        <v>2539301884.8292665</v>
      </c>
      <c r="V315" s="9">
        <v>0</v>
      </c>
      <c r="W315" s="9">
        <v>0</v>
      </c>
      <c r="X315" s="9">
        <v>0</v>
      </c>
    </row>
    <row r="316">
      <c r="A316" s="0" t="inlineStr">
        <is>
          <t xml:space="preserve">VG-020</t>
        </is>
      </c>
      <c r="B316" s="23">
        <v>10</v>
      </c>
      <c r="C316" s="9">
        <v>3298979304.8289485</v>
      </c>
      <c r="D316" s="9">
        <v>470567698.89503497</v>
      </c>
      <c r="E316" s="9">
        <v>1417598768.9393938</v>
      </c>
      <c r="F316" s="9">
        <v>1410812836.99452</v>
      </c>
      <c r="G316" s="9">
        <v>0</v>
      </c>
      <c r="H316" s="9">
        <v>0</v>
      </c>
      <c r="I316" s="9">
        <v>282162567.398904</v>
      </c>
      <c r="J316" s="9">
        <v>271148983.9585437</v>
      </c>
      <c r="K316" s="9">
        <v>1335576.3675752282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v>106319907.67045455</v>
      </c>
      <c r="R316" s="9">
        <v>0</v>
      </c>
      <c r="S316" s="9">
        <v>0</v>
      </c>
      <c r="T316" s="0" t="inlineStr">
        <is>
          <t xml:space="preserve">ZERO_RESIDUAL_NO_SALE</t>
        </is>
      </c>
      <c r="U316" s="9">
        <v>2438593554.49698</v>
      </c>
      <c r="V316" s="9">
        <v>0</v>
      </c>
      <c r="W316" s="9">
        <v>0</v>
      </c>
      <c r="X316" s="9">
        <v>0</v>
      </c>
    </row>
    <row r="317">
      <c r="A317" s="0" t="inlineStr">
        <is>
          <t xml:space="preserve">VG-020</t>
        </is>
      </c>
      <c r="B317" s="23">
        <v>11</v>
      </c>
      <c r="C317" s="9">
        <v>3315309252.3878527</v>
      </c>
      <c r="D317" s="9">
        <v>479979052.8729357</v>
      </c>
      <c r="E317" s="9">
        <v>1417598768.9393938</v>
      </c>
      <c r="F317" s="9">
        <v>1417731430.5755231</v>
      </c>
      <c r="G317" s="9">
        <v>0</v>
      </c>
      <c r="H317" s="9">
        <v>0</v>
      </c>
      <c r="I317" s="9">
        <v>283546286.1151046</v>
      </c>
      <c r="J317" s="9">
        <v>272491171.42913854</v>
      </c>
      <c r="K317" s="9">
        <v>1342187.4705948234</v>
      </c>
      <c r="L317" s="9">
        <v>0</v>
      </c>
      <c r="M317" s="9">
        <v>0</v>
      </c>
      <c r="N317" s="9">
        <v>0</v>
      </c>
      <c r="O317" s="9">
        <v>0</v>
      </c>
      <c r="P317" s="9">
        <v>0</v>
      </c>
      <c r="Q317" s="9">
        <v>0</v>
      </c>
      <c r="R317" s="9">
        <v>0</v>
      </c>
      <c r="S317" s="9">
        <v>0</v>
      </c>
      <c r="T317" s="0" t="inlineStr">
        <is>
          <t xml:space="preserve">ZERO_RESIDUAL_NO_SALE</t>
        </is>
      </c>
      <c r="U317" s="9">
        <v>2550441725.9292173</v>
      </c>
      <c r="V317" s="9">
        <v>0</v>
      </c>
      <c r="W317" s="9">
        <v>0</v>
      </c>
      <c r="X317" s="9">
        <v>0</v>
      </c>
    </row>
    <row r="318">
      <c r="A318" s="0" t="inlineStr">
        <is>
          <t xml:space="preserve">VG-020</t>
        </is>
      </c>
      <c r="B318" s="23">
        <v>12</v>
      </c>
      <c r="C318" s="9">
        <v>3331720033.1871724</v>
      </c>
      <c r="D318" s="9">
        <v>489578633.9303944</v>
      </c>
      <c r="E318" s="9">
        <v>1417598768.9393938</v>
      </c>
      <c r="F318" s="9">
        <v>1424542630.317384</v>
      </c>
      <c r="G318" s="9">
        <v>0</v>
      </c>
      <c r="H318" s="9">
        <v>0</v>
      </c>
      <c r="I318" s="9">
        <v>284908526.0634768</v>
      </c>
      <c r="J318" s="9">
        <v>273840002.7277128</v>
      </c>
      <c r="K318" s="9">
        <v>1348831.2985742688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v>0</v>
      </c>
      <c r="R318" s="9">
        <v>0</v>
      </c>
      <c r="S318" s="9">
        <v>0</v>
      </c>
      <c r="T318" s="0" t="inlineStr">
        <is>
          <t xml:space="preserve">ZERO_RESIDUAL_NO_SALE</t>
        </is>
      </c>
      <c r="U318" s="9">
        <v>2555884041.8947268</v>
      </c>
      <c r="V318" s="9">
        <v>0</v>
      </c>
      <c r="W318" s="9">
        <v>0</v>
      </c>
      <c r="X318" s="9">
        <v>0</v>
      </c>
    </row>
    <row r="319">
      <c r="A319" s="0" t="inlineStr">
        <is>
          <t xml:space="preserve">VG-020</t>
        </is>
      </c>
      <c r="B319" s="23">
        <v>13</v>
      </c>
      <c r="C319" s="9">
        <v>3348212047.3514485</v>
      </c>
      <c r="D319" s="9">
        <v>499370206.6090023</v>
      </c>
      <c r="E319" s="9">
        <v>1417598768.9393938</v>
      </c>
      <c r="F319" s="9">
        <v>1431243071.8030527</v>
      </c>
      <c r="G319" s="9">
        <v>0</v>
      </c>
      <c r="H319" s="9">
        <v>0</v>
      </c>
      <c r="I319" s="9">
        <v>286248614.36061054</v>
      </c>
      <c r="J319" s="9">
        <v>275195510.74121493</v>
      </c>
      <c r="K319" s="9">
        <v>1355508.013502121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0</v>
      </c>
      <c r="S319" s="9">
        <v>0</v>
      </c>
      <c r="T319" s="0" t="inlineStr">
        <is>
          <t xml:space="preserve">ZERO_RESIDUAL_NO_SALE</t>
        </is>
      </c>
      <c r="U319" s="9">
        <v>2561237718.368334</v>
      </c>
      <c r="V319" s="9">
        <v>0</v>
      </c>
      <c r="W319" s="9">
        <v>0</v>
      </c>
      <c r="X319" s="9">
        <v>0</v>
      </c>
    </row>
    <row r="320">
      <c r="A320" s="0" t="inlineStr">
        <is>
          <t xml:space="preserve">VG-020</t>
        </is>
      </c>
      <c r="B320" s="23">
        <v>14</v>
      </c>
      <c r="C320" s="9">
        <v>3364785696.9858384</v>
      </c>
      <c r="D320" s="9">
        <v>509357610.7411824</v>
      </c>
      <c r="E320" s="9">
        <v>1417598768.9393938</v>
      </c>
      <c r="F320" s="9">
        <v>1437829317.3052623</v>
      </c>
      <c r="G320" s="9">
        <v>0</v>
      </c>
      <c r="H320" s="9">
        <v>0</v>
      </c>
      <c r="I320" s="9">
        <v>287565863.4610525</v>
      </c>
      <c r="J320" s="9">
        <v>276557728.51938397</v>
      </c>
      <c r="K320" s="9">
        <v>1362217.778169036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v>0</v>
      </c>
      <c r="R320" s="9">
        <v>0</v>
      </c>
      <c r="S320" s="9">
        <v>0</v>
      </c>
      <c r="T320" s="0" t="inlineStr">
        <is>
          <t xml:space="preserve">ZERO_RESIDUAL_NO_SALE</t>
        </is>
      </c>
      <c r="U320" s="9">
        <v>2566500005.0054345</v>
      </c>
      <c r="V320" s="9">
        <v>0</v>
      </c>
      <c r="W320" s="9">
        <v>0</v>
      </c>
      <c r="X320" s="9">
        <v>0</v>
      </c>
    </row>
    <row r="321">
      <c r="A321" s="0" t="inlineStr">
        <is>
          <t xml:space="preserve">VG-020</t>
        </is>
      </c>
      <c r="B321" s="23">
        <v>15</v>
      </c>
      <c r="C321" s="9">
        <v>3381441386.1859193</v>
      </c>
      <c r="D321" s="9">
        <v>519544762.956006</v>
      </c>
      <c r="E321" s="9">
        <v>1417598768.9393938</v>
      </c>
      <c r="F321" s="9">
        <v>1444297854.2905195</v>
      </c>
      <c r="G321" s="9">
        <v>0</v>
      </c>
      <c r="H321" s="9">
        <v>0</v>
      </c>
      <c r="I321" s="9">
        <v>288859570.85810393</v>
      </c>
      <c r="J321" s="9">
        <v>0</v>
      </c>
      <c r="K321" s="9">
        <v>-276557728.51938397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0</v>
      </c>
      <c r="S321" s="9">
        <v>276557728.51938397</v>
      </c>
      <c r="T321" s="0" t="inlineStr">
        <is>
          <t xml:space="preserve">ZERO_RESIDUAL_NO_SALE</t>
        </is>
      </c>
      <c r="U321" s="9">
        <v>2849594780.8911934</v>
      </c>
      <c r="V321" s="9">
        <v>0</v>
      </c>
      <c r="W321" s="9">
        <v>0</v>
      </c>
      <c r="X321" s="9">
        <v>0</v>
      </c>
    </row>
  </sheetData>
  <autoFilter ref="A1:X321"/>
  <pageMargins left="0.35" right="0.35" top="0.5" bottom="0.5" header="0.2" footer="0.2"/>
</worksheet>
</file>

<file path=xl/worksheets/sheet10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0.00" customWidth="1"/>
    <col min="3" max="3" width="16.20" customWidth="1"/>
    <col min="4" max="4" width="16.20" customWidth="1"/>
    <col min="5" max="5" width="16.20" customWidth="1"/>
    <col min="6" max="6" width="16.20" customWidth="1"/>
    <col min="7" max="7" width="18.00" customWidth="1"/>
    <col min="8" max="8" width="18.00" customWidth="1"/>
    <col min="9" max="9" width="16.20" customWidth="1"/>
    <col min="10" max="10" width="17.10" customWidth="1"/>
    <col min="11" max="11" width="22.50" customWidth="1"/>
    <col min="12" max="12" width="16.20" customWidth="1"/>
    <col min="13" max="13" width="16.20" customWidth="1"/>
    <col min="14" max="14" width="16.20" customWidth="1"/>
    <col min="15" max="15" width="19.80" customWidth="1"/>
    <col min="16" max="16" width="16.20" customWidth="1"/>
    <col min="17" max="17" width="18.90" customWidth="1"/>
    <col min="18" max="18" width="16.20" customWidth="1"/>
    <col min="19" max="19" width="18.00" customWidth="1"/>
    <col min="20" max="20" width="18.90" customWidth="1"/>
    <col min="21" max="21" width="16.20" customWidth="1"/>
    <col min="22" max="22" width="18.00" customWidth="1"/>
    <col min="23" max="23" width="16.20" customWidth="1"/>
    <col min="24" max="24" width="20.4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year</t>
        </is>
      </c>
      <c r="C1" s="4" t="inlineStr">
        <is>
          <t xml:space="preserve">revenue_vnd</t>
        </is>
      </c>
      <c r="D1" s="4" t="inlineStr">
        <is>
          <t xml:space="preserve">opex_vnd</t>
        </is>
      </c>
      <c r="E1" s="4" t="inlineStr">
        <is>
          <t xml:space="preserve">depreciation_vnd</t>
        </is>
      </c>
      <c r="F1" s="4" t="inlineStr">
        <is>
          <t xml:space="preserve">taxable_income_vnd</t>
        </is>
      </c>
      <c r="G1" s="4" t="inlineStr">
        <is>
          <t xml:space="preserve">tax_loss_opening_vnd</t>
        </is>
      </c>
      <c r="H1" s="4" t="inlineStr">
        <is>
          <t xml:space="preserve">tax_loss_closing_vnd</t>
        </is>
      </c>
      <c r="I1" s="4" t="inlineStr">
        <is>
          <t xml:space="preserve">tax_vnd</t>
        </is>
      </c>
      <c r="J1" s="4" t="inlineStr">
        <is>
          <t xml:space="preserve">working_capital_vnd</t>
        </is>
      </c>
      <c r="K1" s="4" t="inlineStr">
        <is>
          <t xml:space="preserve">delta_working_capital_vnd</t>
        </is>
      </c>
      <c r="L1" s="4" t="inlineStr">
        <is>
          <t xml:space="preserve">capex_vnd</t>
        </is>
      </c>
      <c r="M1" s="4" t="inlineStr">
        <is>
          <t xml:space="preserve">capex_net_vnd</t>
        </is>
      </c>
      <c r="N1" s="4" t="inlineStr">
        <is>
          <t xml:space="preserve">vat_paid_vnd</t>
        </is>
      </c>
      <c r="O1" s="4" t="inlineStr">
        <is>
          <t xml:space="preserve">construction_capex_vnd</t>
        </is>
      </c>
      <c r="P1" s="4" t="inlineStr">
        <is>
          <t xml:space="preserve">idc_vnd</t>
        </is>
      </c>
      <c r="Q1" s="4" t="inlineStr">
        <is>
          <t xml:space="preserve">major_maintenance_vnd</t>
        </is>
      </c>
      <c r="R1" s="4" t="inlineStr">
        <is>
          <t xml:space="preserve">terminal_value_vnd</t>
        </is>
      </c>
      <c r="S1" s="4" t="inlineStr">
        <is>
          <t xml:space="preserve">terminal_release_vnd</t>
        </is>
      </c>
      <c r="T1" s="4" t="inlineStr">
        <is>
          <t xml:space="preserve">terminal_branch</t>
        </is>
      </c>
      <c r="U1" s="4" t="inlineStr">
        <is>
          <t xml:space="preserve">cfads_vnd</t>
        </is>
      </c>
      <c r="V1" s="4" t="inlineStr">
        <is>
          <t xml:space="preserve">sources_vnd</t>
        </is>
      </c>
      <c r="W1" s="4" t="inlineStr">
        <is>
          <t xml:space="preserve">uses_vnd</t>
        </is>
      </c>
      <c r="X1" s="4" t="inlineStr">
        <is>
          <t xml:space="preserve">sources_uses_balance_vnd</t>
        </is>
      </c>
    </row>
    <row r="2">
      <c r="A2" s="0" t="inlineStr">
        <is>
          <t xml:space="preserve">VG-001</t>
        </is>
      </c>
      <c r="B2" s="23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31056520833.333332</v>
      </c>
      <c r="M2" s="9">
        <v>28351975378.787876</v>
      </c>
      <c r="N2" s="9">
        <v>2704545454.545457</v>
      </c>
      <c r="O2" s="9">
        <v>29750000000</v>
      </c>
      <c r="P2" s="9">
        <v>1306520833.3333335</v>
      </c>
      <c r="Q2" s="9">
        <v>0</v>
      </c>
      <c r="R2" s="9">
        <v>0</v>
      </c>
      <c r="S2" s="9">
        <v>0</v>
      </c>
      <c r="T2" s="0" t="inlineStr">
        <is>
          <t xml:space="preserve">ZERO_RESIDUAL_NO_SALE</t>
        </is>
      </c>
      <c r="U2" s="9">
        <f>C2-D2-I2-K2-Q2+S2</f>
        <v>0</v>
      </c>
      <c r="V2" s="9">
        <v>31056520833.333332</v>
      </c>
      <c r="W2" s="9">
        <v>31056520833.333332</v>
      </c>
      <c r="X2" s="9">
        <f>V2-W2</f>
        <v>0</v>
      </c>
    </row>
    <row r="3">
      <c r="A3" s="0" t="inlineStr">
        <is>
          <t xml:space="preserve">VG-001</t>
        </is>
      </c>
      <c r="B3" s="23">
        <v>1</v>
      </c>
      <c r="C3" s="9">
        <v>3845226000</v>
      </c>
      <c r="D3" s="9">
        <v>525000000</v>
      </c>
      <c r="E3" s="9">
        <v>1890131691.9191918</v>
      </c>
      <c r="F3" s="9">
        <v>1430094308.0808082</v>
      </c>
      <c r="G3" s="9">
        <v>0</v>
      </c>
      <c r="H3" s="9">
        <v>0</v>
      </c>
      <c r="I3" s="9">
        <v>286018861.61616164</v>
      </c>
      <c r="J3" s="9">
        <v>316045972.60273975</v>
      </c>
      <c r="K3" s="9">
        <v>316045972.60273975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0" t="inlineStr">
        <is>
          <t xml:space="preserve">ZERO_RESIDUAL_NO_SALE</t>
        </is>
      </c>
      <c r="U3" s="9">
        <f>C3-D3-I3-K3-Q3+S3</f>
        <v>2718161165.7810984</v>
      </c>
      <c r="V3" s="9">
        <v>0</v>
      </c>
      <c r="W3" s="9">
        <v>0</v>
      </c>
      <c r="X3" s="9">
        <f>V3-W3</f>
        <v>0</v>
      </c>
    </row>
    <row r="4">
      <c r="A4" s="0" t="inlineStr">
        <is>
          <t xml:space="preserve">VG-001</t>
        </is>
      </c>
      <c r="B4" s="23">
        <v>2</v>
      </c>
      <c r="C4" s="9">
        <v>3864259868.7</v>
      </c>
      <c r="D4" s="9">
        <v>535500000</v>
      </c>
      <c r="E4" s="9">
        <v>1890131691.9191918</v>
      </c>
      <c r="F4" s="9">
        <v>1438628176.780808</v>
      </c>
      <c r="G4" s="9">
        <v>0</v>
      </c>
      <c r="H4" s="9">
        <v>0</v>
      </c>
      <c r="I4" s="9">
        <v>287725635.3561616</v>
      </c>
      <c r="J4" s="9">
        <v>317610400.16712326</v>
      </c>
      <c r="K4" s="9">
        <v>1564427.5643835068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0" t="inlineStr">
        <is>
          <t xml:space="preserve">ZERO_RESIDUAL_NO_SALE</t>
        </is>
      </c>
      <c r="U4" s="9">
        <f>C4-D4-I4-K4-Q4+S4</f>
        <v>3039469805.7794547</v>
      </c>
      <c r="V4" s="9">
        <v>0</v>
      </c>
      <c r="W4" s="9">
        <v>0</v>
      </c>
      <c r="X4" s="9">
        <f>V4-W4</f>
        <v>0</v>
      </c>
    </row>
    <row r="5">
      <c r="A5" s="0" t="inlineStr">
        <is>
          <t xml:space="preserve">VG-001</t>
        </is>
      </c>
      <c r="B5" s="23">
        <v>3</v>
      </c>
      <c r="C5" s="9">
        <v>3883387955.0500655</v>
      </c>
      <c r="D5" s="9">
        <v>546210000</v>
      </c>
      <c r="E5" s="9">
        <v>1890131691.9191918</v>
      </c>
      <c r="F5" s="9">
        <v>1447046263.1308737</v>
      </c>
      <c r="G5" s="9">
        <v>0</v>
      </c>
      <c r="H5" s="9">
        <v>0</v>
      </c>
      <c r="I5" s="9">
        <v>289409252.62617475</v>
      </c>
      <c r="J5" s="9">
        <v>319182571.6479506</v>
      </c>
      <c r="K5" s="9">
        <v>1572171.4808273315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0" t="inlineStr">
        <is>
          <t xml:space="preserve">ZERO_RESIDUAL_NO_SALE</t>
        </is>
      </c>
      <c r="U5" s="9">
        <f>C5-D5-I5-K5-Q5+S5</f>
        <v>3046196530.9430633</v>
      </c>
      <c r="V5" s="9">
        <v>0</v>
      </c>
      <c r="W5" s="9">
        <v>0</v>
      </c>
      <c r="X5" s="9">
        <f>V5-W5</f>
        <v>0</v>
      </c>
    </row>
    <row r="6">
      <c r="A6" s="0" t="inlineStr">
        <is>
          <t xml:space="preserve">VG-001</t>
        </is>
      </c>
      <c r="B6" s="23">
        <v>4</v>
      </c>
      <c r="C6" s="9">
        <v>3902610725.427563</v>
      </c>
      <c r="D6" s="9">
        <v>557134200.0000001</v>
      </c>
      <c r="E6" s="9">
        <v>1890131691.9191918</v>
      </c>
      <c r="F6" s="9">
        <v>1455344833.5083714</v>
      </c>
      <c r="G6" s="9">
        <v>0</v>
      </c>
      <c r="H6" s="9">
        <v>0</v>
      </c>
      <c r="I6" s="9">
        <v>291068966.7016743</v>
      </c>
      <c r="J6" s="9">
        <v>320762525.37760794</v>
      </c>
      <c r="K6" s="9">
        <v>1579953.729657352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0" t="inlineStr">
        <is>
          <t xml:space="preserve">ZERO_RESIDUAL_NO_SALE</t>
        </is>
      </c>
      <c r="U6" s="9">
        <f>C6-D6-I6-K6-Q6+S6</f>
        <v>3052827604.9962316</v>
      </c>
      <c r="V6" s="9">
        <v>0</v>
      </c>
      <c r="W6" s="9">
        <v>0</v>
      </c>
      <c r="X6" s="9">
        <f>V6-W6</f>
        <v>0</v>
      </c>
    </row>
    <row r="7">
      <c r="A7" s="0" t="inlineStr">
        <is>
          <t xml:space="preserve">VG-001</t>
        </is>
      </c>
      <c r="B7" s="23">
        <v>5</v>
      </c>
      <c r="C7" s="9">
        <v>3921928648.5184293</v>
      </c>
      <c r="D7" s="9">
        <v>568276884</v>
      </c>
      <c r="E7" s="9">
        <v>1890131691.9191918</v>
      </c>
      <c r="F7" s="9">
        <v>1463520072.5992374</v>
      </c>
      <c r="G7" s="9">
        <v>0</v>
      </c>
      <c r="H7" s="9">
        <v>0</v>
      </c>
      <c r="I7" s="9">
        <v>292704014.5198475</v>
      </c>
      <c r="J7" s="9">
        <v>322350299.87822706</v>
      </c>
      <c r="K7" s="9">
        <v>1587774.5006191134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141759876.89393938</v>
      </c>
      <c r="R7" s="9">
        <v>0</v>
      </c>
      <c r="S7" s="9">
        <v>0</v>
      </c>
      <c r="T7" s="0" t="inlineStr">
        <is>
          <t xml:space="preserve">ZERO_RESIDUAL_NO_SALE</t>
        </is>
      </c>
      <c r="U7" s="9">
        <f>C7-D7-I7-K7-Q7+S7</f>
        <v>2917600098.6040235</v>
      </c>
      <c r="V7" s="9">
        <v>0</v>
      </c>
      <c r="W7" s="9">
        <v>0</v>
      </c>
      <c r="X7" s="9">
        <f>V7-W7</f>
        <v>0</v>
      </c>
    </row>
    <row r="8">
      <c r="A8" s="0" t="inlineStr">
        <is>
          <t xml:space="preserve">VG-001</t>
        </is>
      </c>
      <c r="B8" s="23">
        <v>6</v>
      </c>
      <c r="C8" s="9">
        <v>3941342195.328596</v>
      </c>
      <c r="D8" s="9">
        <v>579642421.6800001</v>
      </c>
      <c r="E8" s="9">
        <v>1890131691.9191918</v>
      </c>
      <c r="F8" s="9">
        <v>1471568081.729404</v>
      </c>
      <c r="G8" s="9">
        <v>0</v>
      </c>
      <c r="H8" s="9">
        <v>0</v>
      </c>
      <c r="I8" s="9">
        <v>294313616.3458808</v>
      </c>
      <c r="J8" s="9">
        <v>323945933.86262435</v>
      </c>
      <c r="K8" s="9">
        <v>1595633.9843972921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0" t="inlineStr">
        <is>
          <t xml:space="preserve">ZERO_RESIDUAL_NO_SALE</t>
        </is>
      </c>
      <c r="U8" s="9">
        <f>C8-D8-I8-K8-Q8+S8</f>
        <v>3065790523.3183174</v>
      </c>
      <c r="V8" s="9">
        <v>0</v>
      </c>
      <c r="W8" s="9">
        <v>0</v>
      </c>
      <c r="X8" s="9">
        <f>V8-W8</f>
        <v>0</v>
      </c>
    </row>
    <row r="9">
      <c r="A9" s="0" t="inlineStr">
        <is>
          <t xml:space="preserve">VG-001</t>
        </is>
      </c>
      <c r="B9" s="23">
        <v>7</v>
      </c>
      <c r="C9" s="9">
        <v>3960851839.1954727</v>
      </c>
      <c r="D9" s="9">
        <v>591235270.1136</v>
      </c>
      <c r="E9" s="9">
        <v>1890131691.9191918</v>
      </c>
      <c r="F9" s="9">
        <v>1479484877.162681</v>
      </c>
      <c r="G9" s="9">
        <v>0</v>
      </c>
      <c r="H9" s="9">
        <v>0</v>
      </c>
      <c r="I9" s="9">
        <v>295896975.43253624</v>
      </c>
      <c r="J9" s="9">
        <v>325549466.23524433</v>
      </c>
      <c r="K9" s="9">
        <v>1603532.3726199865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0" t="inlineStr">
        <is>
          <t xml:space="preserve">ZERO_RESIDUAL_NO_SALE</t>
        </is>
      </c>
      <c r="U9" s="9">
        <f>C9-D9-I9-K9-Q9+S9</f>
        <v>3072116061.2767167</v>
      </c>
      <c r="V9" s="9">
        <v>0</v>
      </c>
      <c r="W9" s="9">
        <v>0</v>
      </c>
      <c r="X9" s="9">
        <f>V9-W9</f>
        <v>0</v>
      </c>
    </row>
    <row r="10">
      <c r="A10" s="0" t="inlineStr">
        <is>
          <t xml:space="preserve">VG-001</t>
        </is>
      </c>
      <c r="B10" s="23">
        <v>8</v>
      </c>
      <c r="C10" s="9">
        <v>3980458055.7994895</v>
      </c>
      <c r="D10" s="9">
        <v>603059975.515872</v>
      </c>
      <c r="E10" s="9">
        <v>1890131691.9191918</v>
      </c>
      <c r="F10" s="9">
        <v>1487266388.3644257</v>
      </c>
      <c r="G10" s="9">
        <v>0</v>
      </c>
      <c r="H10" s="9">
        <v>0</v>
      </c>
      <c r="I10" s="9">
        <v>297453277.6728851</v>
      </c>
      <c r="J10" s="9">
        <v>327160936.0931087</v>
      </c>
      <c r="K10" s="9">
        <v>1611469.8578643799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0" t="inlineStr">
        <is>
          <t xml:space="preserve">ZERO_RESIDUAL_NO_SALE</t>
        </is>
      </c>
      <c r="U10" s="9">
        <f>C10-D10-I10-K10-Q10+S10</f>
        <v>3078333332.752868</v>
      </c>
      <c r="V10" s="9">
        <v>0</v>
      </c>
      <c r="W10" s="9">
        <v>0</v>
      </c>
      <c r="X10" s="9">
        <f>V10-W10</f>
        <v>0</v>
      </c>
    </row>
    <row r="11">
      <c r="A11" s="0" t="inlineStr">
        <is>
          <t xml:space="preserve">VG-001</t>
        </is>
      </c>
      <c r="B11" s="23">
        <v>9</v>
      </c>
      <c r="C11" s="9">
        <v>4000161323.1756973</v>
      </c>
      <c r="D11" s="9">
        <v>615121175.0261896</v>
      </c>
      <c r="E11" s="9">
        <v>1890131691.9191918</v>
      </c>
      <c r="F11" s="9">
        <v>1494908456.2303157</v>
      </c>
      <c r="G11" s="9">
        <v>0</v>
      </c>
      <c r="H11" s="9">
        <v>0</v>
      </c>
      <c r="I11" s="9">
        <v>298981691.2460632</v>
      </c>
      <c r="J11" s="9">
        <v>328780382.7267696</v>
      </c>
      <c r="K11" s="9">
        <v>1619446.6336609125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0" t="inlineStr">
        <is>
          <t xml:space="preserve">ZERO_RESIDUAL_NO_SALE</t>
        </is>
      </c>
      <c r="U11" s="9">
        <f>C11-D11-I11-K11-Q11+S11</f>
        <v>3084439010.2697835</v>
      </c>
      <c r="V11" s="9">
        <v>0</v>
      </c>
      <c r="W11" s="9">
        <v>0</v>
      </c>
      <c r="X11" s="9">
        <f>V11-W11</f>
        <v>0</v>
      </c>
    </row>
    <row r="12">
      <c r="A12" s="0" t="inlineStr">
        <is>
          <t xml:space="preserve">VG-001</t>
        </is>
      </c>
      <c r="B12" s="23">
        <v>10</v>
      </c>
      <c r="C12" s="9">
        <v>4019962121.725416</v>
      </c>
      <c r="D12" s="9">
        <v>627423598.5267133</v>
      </c>
      <c r="E12" s="9">
        <v>1890131691.9191918</v>
      </c>
      <c r="F12" s="9">
        <v>1502406831.279511</v>
      </c>
      <c r="G12" s="9">
        <v>0</v>
      </c>
      <c r="H12" s="9">
        <v>0</v>
      </c>
      <c r="I12" s="9">
        <v>300481366.25590223</v>
      </c>
      <c r="J12" s="9">
        <v>330407845.6212671</v>
      </c>
      <c r="K12" s="9">
        <v>1627462.8944974542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141759876.89393938</v>
      </c>
      <c r="R12" s="9">
        <v>0</v>
      </c>
      <c r="S12" s="9">
        <v>0</v>
      </c>
      <c r="T12" s="0" t="inlineStr">
        <is>
          <t xml:space="preserve">ZERO_RESIDUAL_NO_SALE</t>
        </is>
      </c>
      <c r="U12" s="9">
        <f>C12-D12-I12-K12-Q12+S12</f>
        <v>2948669817.1543636</v>
      </c>
      <c r="V12" s="9">
        <v>0</v>
      </c>
      <c r="W12" s="9">
        <v>0</v>
      </c>
      <c r="X12" s="9">
        <f>V12-W12</f>
        <v>0</v>
      </c>
    </row>
    <row r="13">
      <c r="A13" s="0" t="inlineStr">
        <is>
          <t xml:space="preserve">VG-001</t>
        </is>
      </c>
      <c r="B13" s="23">
        <v>11</v>
      </c>
      <c r="C13" s="9">
        <v>4039860934.2279577</v>
      </c>
      <c r="D13" s="9">
        <v>639972070.4972476</v>
      </c>
      <c r="E13" s="9">
        <v>1890131691.9191918</v>
      </c>
      <c r="F13" s="9">
        <v>1509757171.8115182</v>
      </c>
      <c r="G13" s="9">
        <v>0</v>
      </c>
      <c r="H13" s="9">
        <v>0</v>
      </c>
      <c r="I13" s="9">
        <v>301951434.3623037</v>
      </c>
      <c r="J13" s="9">
        <v>332043364.4570924</v>
      </c>
      <c r="K13" s="9">
        <v>1635518.835825324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0" t="inlineStr">
        <is>
          <t xml:space="preserve">ZERO_RESIDUAL_NO_SALE</t>
        </is>
      </c>
      <c r="U13" s="9">
        <f>C13-D13-I13-K13-Q13+S13</f>
        <v>3096301910.532581</v>
      </c>
      <c r="V13" s="9">
        <v>0</v>
      </c>
      <c r="W13" s="9">
        <v>0</v>
      </c>
      <c r="X13" s="9">
        <f>V13-W13</f>
        <v>0</v>
      </c>
    </row>
    <row r="14">
      <c r="A14" s="0" t="inlineStr">
        <is>
          <t xml:space="preserve">VG-001</t>
        </is>
      </c>
      <c r="B14" s="23">
        <v>12</v>
      </c>
      <c r="C14" s="9">
        <v>4059858245.852386</v>
      </c>
      <c r="D14" s="9">
        <v>652771511.9071926</v>
      </c>
      <c r="E14" s="9">
        <v>1890131691.9191918</v>
      </c>
      <c r="F14" s="9">
        <v>1516955042.0260015</v>
      </c>
      <c r="G14" s="9">
        <v>0</v>
      </c>
      <c r="H14" s="9">
        <v>0</v>
      </c>
      <c r="I14" s="9">
        <v>303391008.4052003</v>
      </c>
      <c r="J14" s="9">
        <v>333686979.11115503</v>
      </c>
      <c r="K14" s="9">
        <v>1643614.6540626287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0" t="inlineStr">
        <is>
          <t xml:space="preserve">ZERO_RESIDUAL_NO_SALE</t>
        </is>
      </c>
      <c r="U14" s="9">
        <f>C14-D14-I14-K14-Q14+S14</f>
        <v>3102052110.88593</v>
      </c>
      <c r="V14" s="9">
        <v>0</v>
      </c>
      <c r="W14" s="9">
        <v>0</v>
      </c>
      <c r="X14" s="9">
        <f>V14-W14</f>
        <v>0</v>
      </c>
    </row>
    <row r="15">
      <c r="A15" s="0" t="inlineStr">
        <is>
          <t xml:space="preserve">VG-001</t>
        </is>
      </c>
      <c r="B15" s="23">
        <v>13</v>
      </c>
      <c r="C15" s="9">
        <v>4079954544.1693554</v>
      </c>
      <c r="D15" s="9">
        <v>665826942.1453364</v>
      </c>
      <c r="E15" s="9">
        <v>1890131691.9191918</v>
      </c>
      <c r="F15" s="9">
        <v>1523995910.1048274</v>
      </c>
      <c r="G15" s="9">
        <v>0</v>
      </c>
      <c r="H15" s="9">
        <v>0</v>
      </c>
      <c r="I15" s="9">
        <v>304799182.0209655</v>
      </c>
      <c r="J15" s="9">
        <v>335338729.65775526</v>
      </c>
      <c r="K15" s="9">
        <v>1651750.5466002226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0" t="inlineStr">
        <is>
          <t xml:space="preserve">ZERO_RESIDUAL_NO_SALE</t>
        </is>
      </c>
      <c r="U15" s="9">
        <f>C15-D15-I15-K15-Q15+S15</f>
        <v>3107676669.4564533</v>
      </c>
      <c r="V15" s="9">
        <v>0</v>
      </c>
      <c r="W15" s="9">
        <v>0</v>
      </c>
      <c r="X15" s="9">
        <f>V15-W15</f>
        <v>0</v>
      </c>
    </row>
    <row r="16">
      <c r="A16" s="0" t="inlineStr">
        <is>
          <t xml:space="preserve">VG-001</t>
        </is>
      </c>
      <c r="B16" s="23">
        <v>14</v>
      </c>
      <c r="C16" s="9">
        <v>4100150319.1629934</v>
      </c>
      <c r="D16" s="9">
        <v>679143480.9882432</v>
      </c>
      <c r="E16" s="9">
        <v>1890131691.9191918</v>
      </c>
      <c r="F16" s="9">
        <v>1530875146.2555585</v>
      </c>
      <c r="G16" s="9">
        <v>0</v>
      </c>
      <c r="H16" s="9">
        <v>0</v>
      </c>
      <c r="I16" s="9">
        <v>306175029.2511117</v>
      </c>
      <c r="J16" s="9">
        <v>336998656.3695611</v>
      </c>
      <c r="K16" s="9">
        <v>1659926.7118058205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0" t="inlineStr">
        <is>
          <t xml:space="preserve">ZERO_RESIDUAL_NO_SALE</t>
        </is>
      </c>
      <c r="U16" s="9">
        <f>C16-D16-I16-K16-Q16+S16</f>
        <v>3113171882.211833</v>
      </c>
      <c r="V16" s="9">
        <v>0</v>
      </c>
      <c r="W16" s="9">
        <v>0</v>
      </c>
      <c r="X16" s="9">
        <f>V16-W16</f>
        <v>0</v>
      </c>
    </row>
    <row r="17">
      <c r="A17" s="0" t="inlineStr">
        <is>
          <t xml:space="preserve">VG-001</t>
        </is>
      </c>
      <c r="B17" s="23">
        <v>15</v>
      </c>
      <c r="C17" s="9">
        <v>4120446063.2428513</v>
      </c>
      <c r="D17" s="9">
        <v>692726350.608008</v>
      </c>
      <c r="E17" s="9">
        <v>1890131691.9191918</v>
      </c>
      <c r="F17" s="9">
        <v>1537588020.7156515</v>
      </c>
      <c r="G17" s="9">
        <v>0</v>
      </c>
      <c r="H17" s="9">
        <v>0</v>
      </c>
      <c r="I17" s="9">
        <v>307517604.1431303</v>
      </c>
      <c r="J17" s="9">
        <v>0</v>
      </c>
      <c r="K17" s="9">
        <v>-336998656.3695611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336998656.3695611</v>
      </c>
      <c r="T17" s="0" t="inlineStr">
        <is>
          <t xml:space="preserve">ZERO_RESIDUAL_NO_SALE</t>
        </is>
      </c>
      <c r="U17" s="9">
        <f>C17-D17-I17-K17-Q17+S17</f>
        <v>3457200764.8612742</v>
      </c>
      <c r="V17" s="9">
        <v>0</v>
      </c>
      <c r="W17" s="9">
        <v>0</v>
      </c>
      <c r="X17" s="9">
        <f>V17-W17</f>
        <v>0</v>
      </c>
    </row>
    <row r="18">
      <c r="A18" s="0" t="inlineStr">
        <is>
          <t xml:space="preserve">VG-002</t>
        </is>
      </c>
      <c r="B18" s="23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33274843750</v>
      </c>
      <c r="M18" s="9">
        <v>30377116477.272724</v>
      </c>
      <c r="N18" s="9">
        <v>2897727272.727276</v>
      </c>
      <c r="O18" s="9">
        <v>31875000000</v>
      </c>
      <c r="P18" s="9">
        <v>1399843750</v>
      </c>
      <c r="Q18" s="9">
        <v>0</v>
      </c>
      <c r="R18" s="9">
        <v>0</v>
      </c>
      <c r="S18" s="9">
        <v>0</v>
      </c>
      <c r="T18" s="0" t="inlineStr">
        <is>
          <t xml:space="preserve">ZERO_RESIDUAL_NO_SALE</t>
        </is>
      </c>
      <c r="U18" s="9">
        <f>C18-D18-I18-K18-Q18+S18</f>
        <v>0</v>
      </c>
      <c r="V18" s="9">
        <v>33274843750</v>
      </c>
      <c r="W18" s="9">
        <v>33274843750</v>
      </c>
      <c r="X18" s="9">
        <f>V18-W18</f>
        <v>0</v>
      </c>
    </row>
    <row r="19">
      <c r="A19" s="0" t="inlineStr">
        <is>
          <t xml:space="preserve">VG-002</t>
        </is>
      </c>
      <c r="B19" s="23">
        <v>1</v>
      </c>
      <c r="C19" s="9">
        <v>4284680400.0000005</v>
      </c>
      <c r="D19" s="9">
        <v>562500000</v>
      </c>
      <c r="E19" s="9">
        <v>2025141098.4848483</v>
      </c>
      <c r="F19" s="9">
        <v>1697039301.5151522</v>
      </c>
      <c r="G19" s="9">
        <v>0</v>
      </c>
      <c r="H19" s="9">
        <v>0</v>
      </c>
      <c r="I19" s="9">
        <v>339407860.3030305</v>
      </c>
      <c r="J19" s="9">
        <v>352165512.3287672</v>
      </c>
      <c r="K19" s="9">
        <v>352165512.3287672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0" t="inlineStr">
        <is>
          <t xml:space="preserve">ZERO_RESIDUAL_NO_SALE</t>
        </is>
      </c>
      <c r="U19" s="9">
        <f>C19-D19-I19-K19-Q19+S19</f>
        <v>3030607027.3682027</v>
      </c>
      <c r="V19" s="9">
        <v>0</v>
      </c>
      <c r="W19" s="9">
        <v>0</v>
      </c>
      <c r="X19" s="9">
        <f>V19-W19</f>
        <v>0</v>
      </c>
    </row>
    <row r="20">
      <c r="A20" s="0" t="inlineStr">
        <is>
          <t xml:space="preserve">VG-002</t>
        </is>
      </c>
      <c r="B20" s="23">
        <v>2</v>
      </c>
      <c r="C20" s="9">
        <v>4305889567.9800005</v>
      </c>
      <c r="D20" s="9">
        <v>573750000</v>
      </c>
      <c r="E20" s="9">
        <v>2025141098.4848483</v>
      </c>
      <c r="F20" s="9">
        <v>1706998469.4951522</v>
      </c>
      <c r="G20" s="9">
        <v>0</v>
      </c>
      <c r="H20" s="9">
        <v>0</v>
      </c>
      <c r="I20" s="9">
        <v>341399693.89903045</v>
      </c>
      <c r="J20" s="9">
        <v>353908731.61479455</v>
      </c>
      <c r="K20" s="9">
        <v>1743219.2860273719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0" t="inlineStr">
        <is>
          <t xml:space="preserve">ZERO_RESIDUAL_NO_SALE</t>
        </is>
      </c>
      <c r="U20" s="9">
        <f>C20-D20-I20-K20-Q20+S20</f>
        <v>3388996654.7949424</v>
      </c>
      <c r="V20" s="9">
        <v>0</v>
      </c>
      <c r="W20" s="9">
        <v>0</v>
      </c>
      <c r="X20" s="9">
        <f>V20-W20</f>
        <v>0</v>
      </c>
    </row>
    <row r="21">
      <c r="A21" s="0" t="inlineStr">
        <is>
          <t xml:space="preserve">VG-002</t>
        </is>
      </c>
      <c r="B21" s="23">
        <v>3</v>
      </c>
      <c r="C21" s="9">
        <v>4327203721.341502</v>
      </c>
      <c r="D21" s="9">
        <v>585225000</v>
      </c>
      <c r="E21" s="9">
        <v>2025141098.4848483</v>
      </c>
      <c r="F21" s="9">
        <v>1716837622.856654</v>
      </c>
      <c r="G21" s="9">
        <v>0</v>
      </c>
      <c r="H21" s="9">
        <v>0</v>
      </c>
      <c r="I21" s="9">
        <v>343367524.5713308</v>
      </c>
      <c r="J21" s="9">
        <v>355660579.83628786</v>
      </c>
      <c r="K21" s="9">
        <v>1751848.2214933038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0" t="inlineStr">
        <is>
          <t xml:space="preserve">ZERO_RESIDUAL_NO_SALE</t>
        </is>
      </c>
      <c r="U21" s="9">
        <f>C21-D21-I21-K21-Q21+S21</f>
        <v>3396859348.548678</v>
      </c>
      <c r="V21" s="9">
        <v>0</v>
      </c>
      <c r="W21" s="9">
        <v>0</v>
      </c>
      <c r="X21" s="9">
        <f>V21-W21</f>
        <v>0</v>
      </c>
    </row>
    <row r="22">
      <c r="A22" s="0" t="inlineStr">
        <is>
          <t xml:space="preserve">VG-002</t>
        </is>
      </c>
      <c r="B22" s="23">
        <v>4</v>
      </c>
      <c r="C22" s="9">
        <v>4348623379.762142</v>
      </c>
      <c r="D22" s="9">
        <v>596929500.0000001</v>
      </c>
      <c r="E22" s="9">
        <v>2025141098.4848483</v>
      </c>
      <c r="F22" s="9">
        <v>1726552781.277294</v>
      </c>
      <c r="G22" s="9">
        <v>0</v>
      </c>
      <c r="H22" s="9">
        <v>0</v>
      </c>
      <c r="I22" s="9">
        <v>345310556.25545883</v>
      </c>
      <c r="J22" s="9">
        <v>357421099.7064774</v>
      </c>
      <c r="K22" s="9">
        <v>1760519.8701895475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0" t="inlineStr">
        <is>
          <t xml:space="preserve">ZERO_RESIDUAL_NO_SALE</t>
        </is>
      </c>
      <c r="U22" s="9">
        <f>C22-D22-I22-K22-Q22+S22</f>
        <v>3404622803.6364937</v>
      </c>
      <c r="V22" s="9">
        <v>0</v>
      </c>
      <c r="W22" s="9">
        <v>0</v>
      </c>
      <c r="X22" s="9">
        <f>V22-W22</f>
        <v>0</v>
      </c>
    </row>
    <row r="23">
      <c r="A23" s="0" t="inlineStr">
        <is>
          <t xml:space="preserve">VG-002</t>
        </is>
      </c>
      <c r="B23" s="23">
        <v>5</v>
      </c>
      <c r="C23" s="9">
        <v>4370149065.491964</v>
      </c>
      <c r="D23" s="9">
        <v>608868090</v>
      </c>
      <c r="E23" s="9">
        <v>2025141098.4848483</v>
      </c>
      <c r="F23" s="9">
        <v>1736139877.007116</v>
      </c>
      <c r="G23" s="9">
        <v>0</v>
      </c>
      <c r="H23" s="9">
        <v>0</v>
      </c>
      <c r="I23" s="9">
        <v>347227975.4014232</v>
      </c>
      <c r="J23" s="9">
        <v>359190334.1500245</v>
      </c>
      <c r="K23" s="9">
        <v>1769234.44354707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151885582.38636363</v>
      </c>
      <c r="R23" s="9">
        <v>0</v>
      </c>
      <c r="S23" s="9">
        <v>0</v>
      </c>
      <c r="T23" s="0" t="inlineStr">
        <is>
          <t xml:space="preserve">ZERO_RESIDUAL_NO_SALE</t>
        </is>
      </c>
      <c r="U23" s="9">
        <f>C23-D23-I23-K23-Q23+S23</f>
        <v>3260398183.26063</v>
      </c>
      <c r="V23" s="9">
        <v>0</v>
      </c>
      <c r="W23" s="9">
        <v>0</v>
      </c>
      <c r="X23" s="9">
        <f>V23-W23</f>
        <v>0</v>
      </c>
    </row>
    <row r="24">
      <c r="A24" s="0" t="inlineStr">
        <is>
          <t xml:space="preserve">VG-002</t>
        </is>
      </c>
      <c r="B24" s="23">
        <v>6</v>
      </c>
      <c r="C24" s="9">
        <v>4391781303.36615</v>
      </c>
      <c r="D24" s="9">
        <v>621045451.8</v>
      </c>
      <c r="E24" s="9">
        <v>2025141098.4848483</v>
      </c>
      <c r="F24" s="9">
        <v>1745594753.0813015</v>
      </c>
      <c r="G24" s="9">
        <v>0</v>
      </c>
      <c r="H24" s="9">
        <v>0</v>
      </c>
      <c r="I24" s="9">
        <v>349118950.6162603</v>
      </c>
      <c r="J24" s="9">
        <v>360968326.30406713</v>
      </c>
      <c r="K24" s="9">
        <v>1777992.1540426612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0" t="inlineStr">
        <is>
          <t xml:space="preserve">ZERO_RESIDUAL_NO_SALE</t>
        </is>
      </c>
      <c r="U24" s="9">
        <f>C24-D24-I24-K24-Q24+S24</f>
        <v>3419838908.7958465</v>
      </c>
      <c r="V24" s="9">
        <v>0</v>
      </c>
      <c r="W24" s="9">
        <v>0</v>
      </c>
      <c r="X24" s="9">
        <f>V24-W24</f>
        <v>0</v>
      </c>
    </row>
    <row r="25">
      <c r="A25" s="0" t="inlineStr">
        <is>
          <t xml:space="preserve">VG-002</t>
        </is>
      </c>
      <c r="B25" s="23">
        <v>7</v>
      </c>
      <c r="C25" s="9">
        <v>4413520620.817813</v>
      </c>
      <c r="D25" s="9">
        <v>633466360.8360001</v>
      </c>
      <c r="E25" s="9">
        <v>2025141098.4848483</v>
      </c>
      <c r="F25" s="9">
        <v>1754913161.4969647</v>
      </c>
      <c r="G25" s="9">
        <v>0</v>
      </c>
      <c r="H25" s="9">
        <v>0</v>
      </c>
      <c r="I25" s="9">
        <v>350982632.29939294</v>
      </c>
      <c r="J25" s="9">
        <v>362755119.5192723</v>
      </c>
      <c r="K25" s="9">
        <v>1786793.2152051926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0" t="inlineStr">
        <is>
          <t xml:space="preserve">ZERO_RESIDUAL_NO_SALE</t>
        </is>
      </c>
      <c r="U25" s="9">
        <f>C25-D25-I25-K25-Q25+S25</f>
        <v>3427284834.4672146</v>
      </c>
      <c r="V25" s="9">
        <v>0</v>
      </c>
      <c r="W25" s="9">
        <v>0</v>
      </c>
      <c r="X25" s="9">
        <f>V25-W25</f>
        <v>0</v>
      </c>
    </row>
    <row r="26">
      <c r="A26" s="0" t="inlineStr">
        <is>
          <t xml:space="preserve">VG-002</t>
        </is>
      </c>
      <c r="B26" s="23">
        <v>8</v>
      </c>
      <c r="C26" s="9">
        <v>4435367547.890861</v>
      </c>
      <c r="D26" s="9">
        <v>646135688.0527201</v>
      </c>
      <c r="E26" s="9">
        <v>2025141098.4848483</v>
      </c>
      <c r="F26" s="9">
        <v>1764090761.3532922</v>
      </c>
      <c r="G26" s="9">
        <v>0</v>
      </c>
      <c r="H26" s="9">
        <v>0</v>
      </c>
      <c r="I26" s="9">
        <v>352818152.2706585</v>
      </c>
      <c r="J26" s="9">
        <v>364550757.36089265</v>
      </c>
      <c r="K26" s="9">
        <v>1795637.841620326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0" t="inlineStr">
        <is>
          <t xml:space="preserve">ZERO_RESIDUAL_NO_SALE</t>
        </is>
      </c>
      <c r="U26" s="9">
        <f>C26-D26-I26-K26-Q26+S26</f>
        <v>3434618069.7258615</v>
      </c>
      <c r="V26" s="9">
        <v>0</v>
      </c>
      <c r="W26" s="9">
        <v>0</v>
      </c>
      <c r="X26" s="9">
        <f>V26-W26</f>
        <v>0</v>
      </c>
    </row>
    <row r="27">
      <c r="A27" s="0" t="inlineStr">
        <is>
          <t xml:space="preserve">VG-002</t>
        </is>
      </c>
      <c r="B27" s="23">
        <v>9</v>
      </c>
      <c r="C27" s="9">
        <v>4457322617.25292</v>
      </c>
      <c r="D27" s="9">
        <v>659058401.8137745</v>
      </c>
      <c r="E27" s="9">
        <v>2025141098.4848483</v>
      </c>
      <c r="F27" s="9">
        <v>1773123116.9542973</v>
      </c>
      <c r="G27" s="9">
        <v>0</v>
      </c>
      <c r="H27" s="9">
        <v>0</v>
      </c>
      <c r="I27" s="9">
        <v>354624623.3908595</v>
      </c>
      <c r="J27" s="9">
        <v>366355283.60982907</v>
      </c>
      <c r="K27" s="9">
        <v>1804526.2489364147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0" t="inlineStr">
        <is>
          <t xml:space="preserve">ZERO_RESIDUAL_NO_SALE</t>
        </is>
      </c>
      <c r="U27" s="9">
        <f>C27-D27-I27-K27-Q27+S27</f>
        <v>3441835065.79935</v>
      </c>
      <c r="V27" s="9">
        <v>0</v>
      </c>
      <c r="W27" s="9">
        <v>0</v>
      </c>
      <c r="X27" s="9">
        <f>V27-W27</f>
        <v>0</v>
      </c>
    </row>
    <row r="28">
      <c r="A28" s="0" t="inlineStr">
        <is>
          <t xml:space="preserve">VG-002</t>
        </is>
      </c>
      <c r="B28" s="23">
        <v>10</v>
      </c>
      <c r="C28" s="9">
        <v>4479386364.208322</v>
      </c>
      <c r="D28" s="9">
        <v>672239569.85005</v>
      </c>
      <c r="E28" s="9">
        <v>2025141098.4848483</v>
      </c>
      <c r="F28" s="9">
        <v>1782005695.8734233</v>
      </c>
      <c r="G28" s="9">
        <v>0</v>
      </c>
      <c r="H28" s="9">
        <v>0</v>
      </c>
      <c r="I28" s="9">
        <v>356401139.1746847</v>
      </c>
      <c r="J28" s="9">
        <v>368168742.2636977</v>
      </c>
      <c r="K28" s="9">
        <v>1813458.6538686156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151885582.38636363</v>
      </c>
      <c r="R28" s="9">
        <v>0</v>
      </c>
      <c r="S28" s="9">
        <v>0</v>
      </c>
      <c r="T28" s="0" t="inlineStr">
        <is>
          <t xml:space="preserve">ZERO_RESIDUAL_NO_SALE</t>
        </is>
      </c>
      <c r="U28" s="9">
        <f>C28-D28-I28-K28-Q28+S28</f>
        <v>3297046614.143355</v>
      </c>
      <c r="V28" s="9">
        <v>0</v>
      </c>
      <c r="W28" s="9">
        <v>0</v>
      </c>
      <c r="X28" s="9">
        <f>V28-W28</f>
        <v>0</v>
      </c>
    </row>
    <row r="29">
      <c r="A29" s="0" t="inlineStr">
        <is>
          <t xml:space="preserve">VG-002</t>
        </is>
      </c>
      <c r="B29" s="23">
        <v>11</v>
      </c>
      <c r="C29" s="9">
        <v>4501559326.711153</v>
      </c>
      <c r="D29" s="9">
        <v>685684361.247051</v>
      </c>
      <c r="E29" s="9">
        <v>2025141098.4848483</v>
      </c>
      <c r="F29" s="9">
        <v>1790733866.9792535</v>
      </c>
      <c r="G29" s="9">
        <v>0</v>
      </c>
      <c r="H29" s="9">
        <v>0</v>
      </c>
      <c r="I29" s="9">
        <v>358146773.3958507</v>
      </c>
      <c r="J29" s="9">
        <v>369991177.537903</v>
      </c>
      <c r="K29" s="9">
        <v>1822435.274205327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0" t="inlineStr">
        <is>
          <t xml:space="preserve">ZERO_RESIDUAL_NO_SALE</t>
        </is>
      </c>
      <c r="U29" s="9">
        <f>C29-D29-I29-K29-Q29+S29</f>
        <v>3455905756.794046</v>
      </c>
      <c r="V29" s="9">
        <v>0</v>
      </c>
      <c r="W29" s="9">
        <v>0</v>
      </c>
      <c r="X29" s="9">
        <f>V29-W29</f>
        <v>0</v>
      </c>
    </row>
    <row r="30">
      <c r="A30" s="0" t="inlineStr">
        <is>
          <t xml:space="preserve">VG-002</t>
        </is>
      </c>
      <c r="B30" s="23">
        <v>12</v>
      </c>
      <c r="C30" s="9">
        <v>4523842045.378373</v>
      </c>
      <c r="D30" s="9">
        <v>699398048.471992</v>
      </c>
      <c r="E30" s="9">
        <v>2025141098.4848483</v>
      </c>
      <c r="F30" s="9">
        <v>1799302898.4215329</v>
      </c>
      <c r="G30" s="9">
        <v>0</v>
      </c>
      <c r="H30" s="9">
        <v>0</v>
      </c>
      <c r="I30" s="9">
        <v>359860579.6843066</v>
      </c>
      <c r="J30" s="9">
        <v>371822633.8667156</v>
      </c>
      <c r="K30" s="9">
        <v>1831456.3288125992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0" t="inlineStr">
        <is>
          <t xml:space="preserve">ZERO_RESIDUAL_NO_SALE</t>
        </is>
      </c>
      <c r="U30" s="9">
        <f>C30-D30-I30-K30-Q30+S30</f>
        <v>3462751960.893262</v>
      </c>
      <c r="V30" s="9">
        <v>0</v>
      </c>
      <c r="W30" s="9">
        <v>0</v>
      </c>
      <c r="X30" s="9">
        <f>V30-W30</f>
        <v>0</v>
      </c>
    </row>
    <row r="31">
      <c r="A31" s="0" t="inlineStr">
        <is>
          <t xml:space="preserve">VG-002</t>
        </is>
      </c>
      <c r="B31" s="23">
        <v>13</v>
      </c>
      <c r="C31" s="9">
        <v>4546235063.502996</v>
      </c>
      <c r="D31" s="9">
        <v>713386009.4414319</v>
      </c>
      <c r="E31" s="9">
        <v>2025141098.4848483</v>
      </c>
      <c r="F31" s="9">
        <v>1807707955.5767162</v>
      </c>
      <c r="G31" s="9">
        <v>0</v>
      </c>
      <c r="H31" s="9">
        <v>0</v>
      </c>
      <c r="I31" s="9">
        <v>361541591.1153433</v>
      </c>
      <c r="J31" s="9">
        <v>373663155.9043559</v>
      </c>
      <c r="K31" s="9">
        <v>1840522.0376402736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0" t="inlineStr">
        <is>
          <t xml:space="preserve">ZERO_RESIDUAL_NO_SALE</t>
        </is>
      </c>
      <c r="U31" s="9">
        <f>C31-D31-I31-K31-Q31+S31</f>
        <v>3469466940.9085813</v>
      </c>
      <c r="V31" s="9">
        <v>0</v>
      </c>
      <c r="W31" s="9">
        <v>0</v>
      </c>
      <c r="X31" s="9">
        <f>V31-W31</f>
        <v>0</v>
      </c>
    </row>
    <row r="32">
      <c r="A32" s="0" t="inlineStr">
        <is>
          <t xml:space="preserve">VG-002</t>
        </is>
      </c>
      <c r="B32" s="23">
        <v>14</v>
      </c>
      <c r="C32" s="9">
        <v>4568738927.067336</v>
      </c>
      <c r="D32" s="9">
        <v>727653729.6302606</v>
      </c>
      <c r="E32" s="9">
        <v>2025141098.4848483</v>
      </c>
      <c r="F32" s="9">
        <v>1815944098.9522274</v>
      </c>
      <c r="G32" s="9">
        <v>0</v>
      </c>
      <c r="H32" s="9">
        <v>0</v>
      </c>
      <c r="I32" s="9">
        <v>363188819.7904455</v>
      </c>
      <c r="J32" s="9">
        <v>375512788.5260824</v>
      </c>
      <c r="K32" s="9">
        <v>1849632.621726513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0" t="inlineStr">
        <is>
          <t xml:space="preserve">ZERO_RESIDUAL_NO_SALE</t>
        </is>
      </c>
      <c r="U32" s="9">
        <f>C32-D32-I32-K32-Q32+S32</f>
        <v>3476046745.024904</v>
      </c>
      <c r="V32" s="9">
        <v>0</v>
      </c>
      <c r="W32" s="9">
        <v>0</v>
      </c>
      <c r="X32" s="9">
        <f>V32-W32</f>
        <v>0</v>
      </c>
    </row>
    <row r="33">
      <c r="A33" s="0" t="inlineStr">
        <is>
          <t xml:space="preserve">VG-002</t>
        </is>
      </c>
      <c r="B33" s="23">
        <v>15</v>
      </c>
      <c r="C33" s="9">
        <v>4591354184.756321</v>
      </c>
      <c r="D33" s="9">
        <v>742206804.2228657</v>
      </c>
      <c r="E33" s="9">
        <v>2025141098.4848483</v>
      </c>
      <c r="F33" s="9">
        <v>1824006282.048607</v>
      </c>
      <c r="G33" s="9">
        <v>0</v>
      </c>
      <c r="H33" s="9">
        <v>0</v>
      </c>
      <c r="I33" s="9">
        <v>364801256.40972143</v>
      </c>
      <c r="J33" s="9">
        <v>0</v>
      </c>
      <c r="K33" s="9">
        <v>-375512788.5260824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375512788.5260824</v>
      </c>
      <c r="T33" s="0" t="inlineStr">
        <is>
          <t xml:space="preserve">ZERO_RESIDUAL_NO_SALE</t>
        </is>
      </c>
      <c r="U33" s="9">
        <f>C33-D33-I33-K33-Q33+S33</f>
        <v>3859858912.6498165</v>
      </c>
      <c r="V33" s="9">
        <v>0</v>
      </c>
      <c r="W33" s="9">
        <v>0</v>
      </c>
      <c r="X33" s="9">
        <f>V33-W33</f>
        <v>0</v>
      </c>
    </row>
    <row r="34">
      <c r="A34" s="0" t="inlineStr">
        <is>
          <t xml:space="preserve">VG-003</t>
        </is>
      </c>
      <c r="B34" s="23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24401552083.333332</v>
      </c>
      <c r="M34" s="9">
        <v>22276552083.333332</v>
      </c>
      <c r="N34" s="9">
        <v>2125000000.0000014</v>
      </c>
      <c r="O34" s="9">
        <v>23375000000</v>
      </c>
      <c r="P34" s="9">
        <v>1026552083.3333335</v>
      </c>
      <c r="Q34" s="9">
        <v>0</v>
      </c>
      <c r="R34" s="9">
        <v>0</v>
      </c>
      <c r="S34" s="9">
        <v>0</v>
      </c>
      <c r="T34" s="0" t="inlineStr">
        <is>
          <t xml:space="preserve">ZERO_RESIDUAL_NO_SALE</t>
        </is>
      </c>
      <c r="U34" s="9">
        <f>C34-D34-I34-K34-Q34+S34</f>
        <v>0</v>
      </c>
      <c r="V34" s="9">
        <v>24401552083.333332</v>
      </c>
      <c r="W34" s="9">
        <v>24401552083.333332</v>
      </c>
      <c r="X34" s="9">
        <f>V34-W34</f>
        <v>0</v>
      </c>
    </row>
    <row r="35">
      <c r="A35" s="0" t="inlineStr">
        <is>
          <t xml:space="preserve">VG-003</t>
        </is>
      </c>
      <c r="B35" s="23">
        <v>1</v>
      </c>
      <c r="C35" s="9">
        <v>3073041840</v>
      </c>
      <c r="D35" s="9">
        <v>412500000</v>
      </c>
      <c r="E35" s="9">
        <v>1485103472.222222</v>
      </c>
      <c r="F35" s="9">
        <v>1175438367.777778</v>
      </c>
      <c r="G35" s="9">
        <v>0</v>
      </c>
      <c r="H35" s="9">
        <v>0</v>
      </c>
      <c r="I35" s="9">
        <v>235087673.55555558</v>
      </c>
      <c r="J35" s="9">
        <v>252578781.369863</v>
      </c>
      <c r="K35" s="9">
        <v>252578781.369863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0" t="inlineStr">
        <is>
          <t xml:space="preserve">ZERO_RESIDUAL_NO_SALE</t>
        </is>
      </c>
      <c r="U35" s="9">
        <f>C35-D35-I35-K35-Q35+S35</f>
        <v>2172875385.0745816</v>
      </c>
      <c r="V35" s="9">
        <v>0</v>
      </c>
      <c r="W35" s="9">
        <v>0</v>
      </c>
      <c r="X35" s="9">
        <f>V35-W35</f>
        <v>0</v>
      </c>
    </row>
    <row r="36">
      <c r="A36" s="0" t="inlineStr">
        <is>
          <t xml:space="preserve">VG-003</t>
        </is>
      </c>
      <c r="B36" s="23">
        <v>2</v>
      </c>
      <c r="C36" s="9">
        <v>3088253397.1080003</v>
      </c>
      <c r="D36" s="9">
        <v>420750000</v>
      </c>
      <c r="E36" s="9">
        <v>1485103472.222222</v>
      </c>
      <c r="F36" s="9">
        <v>1182399924.8857782</v>
      </c>
      <c r="G36" s="9">
        <v>0</v>
      </c>
      <c r="H36" s="9">
        <v>0</v>
      </c>
      <c r="I36" s="9">
        <v>236479984.97715566</v>
      </c>
      <c r="J36" s="9">
        <v>253829046.33764386</v>
      </c>
      <c r="K36" s="9">
        <v>1250264.9677808583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0" t="inlineStr">
        <is>
          <t xml:space="preserve">ZERO_RESIDUAL_NO_SALE</t>
        </is>
      </c>
      <c r="U36" s="9">
        <f>C36-D36-I36-K36-Q36+S36</f>
        <v>2429773147.1630635</v>
      </c>
      <c r="V36" s="9">
        <v>0</v>
      </c>
      <c r="W36" s="9">
        <v>0</v>
      </c>
      <c r="X36" s="9">
        <f>V36-W36</f>
        <v>0</v>
      </c>
    </row>
    <row r="37">
      <c r="A37" s="0" t="inlineStr">
        <is>
          <t xml:space="preserve">VG-003</t>
        </is>
      </c>
      <c r="B37" s="23">
        <v>3</v>
      </c>
      <c r="C37" s="9">
        <v>3103540251.423685</v>
      </c>
      <c r="D37" s="9">
        <v>429165000</v>
      </c>
      <c r="E37" s="9">
        <v>1485103472.222222</v>
      </c>
      <c r="F37" s="9">
        <v>1189271779.201463</v>
      </c>
      <c r="G37" s="9">
        <v>0</v>
      </c>
      <c r="H37" s="9">
        <v>0</v>
      </c>
      <c r="I37" s="9">
        <v>237854355.8402926</v>
      </c>
      <c r="J37" s="9">
        <v>255085500.1170152</v>
      </c>
      <c r="K37" s="9">
        <v>1256453.779371351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0" t="inlineStr">
        <is>
          <t xml:space="preserve">ZERO_RESIDUAL_NO_SALE</t>
        </is>
      </c>
      <c r="U37" s="9">
        <f>C37-D37-I37-K37-Q37+S37</f>
        <v>2435264441.8040214</v>
      </c>
      <c r="V37" s="9">
        <v>0</v>
      </c>
      <c r="W37" s="9">
        <v>0</v>
      </c>
      <c r="X37" s="9">
        <f>V37-W37</f>
        <v>0</v>
      </c>
    </row>
    <row r="38">
      <c r="A38" s="0" t="inlineStr">
        <is>
          <t xml:space="preserve">VG-003</t>
        </is>
      </c>
      <c r="B38" s="23">
        <v>4</v>
      </c>
      <c r="C38" s="9">
        <v>3118902775.6682324</v>
      </c>
      <c r="D38" s="9">
        <v>437748300.00000006</v>
      </c>
      <c r="E38" s="9">
        <v>1485103472.222222</v>
      </c>
      <c r="F38" s="9">
        <v>1196051003.4460104</v>
      </c>
      <c r="G38" s="9">
        <v>0</v>
      </c>
      <c r="H38" s="9">
        <v>0</v>
      </c>
      <c r="I38" s="9">
        <v>239210200.68920207</v>
      </c>
      <c r="J38" s="9">
        <v>256348173.34259441</v>
      </c>
      <c r="K38" s="9">
        <v>1262673.2255792022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0" t="inlineStr">
        <is>
          <t xml:space="preserve">ZERO_RESIDUAL_NO_SALE</t>
        </is>
      </c>
      <c r="U38" s="9">
        <f>C38-D38-I38-K38-Q38+S38</f>
        <v>2440681601.7534513</v>
      </c>
      <c r="V38" s="9">
        <v>0</v>
      </c>
      <c r="W38" s="9">
        <v>0</v>
      </c>
      <c r="X38" s="9">
        <f>V38-W38</f>
        <v>0</v>
      </c>
    </row>
    <row r="39">
      <c r="A39" s="0" t="inlineStr">
        <is>
          <t xml:space="preserve">VG-003</t>
        </is>
      </c>
      <c r="B39" s="23">
        <v>5</v>
      </c>
      <c r="C39" s="9">
        <v>3134341344.4077897</v>
      </c>
      <c r="D39" s="9">
        <v>446503266</v>
      </c>
      <c r="E39" s="9">
        <v>1485103472.222222</v>
      </c>
      <c r="F39" s="9">
        <v>1202734606.1855676</v>
      </c>
      <c r="G39" s="9">
        <v>0</v>
      </c>
      <c r="H39" s="9">
        <v>0</v>
      </c>
      <c r="I39" s="9">
        <v>240546921.23711354</v>
      </c>
      <c r="J39" s="9">
        <v>257617096.80064026</v>
      </c>
      <c r="K39" s="9">
        <v>1268923.4580458403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111382760.41666666</v>
      </c>
      <c r="R39" s="9">
        <v>0</v>
      </c>
      <c r="S39" s="9">
        <v>0</v>
      </c>
      <c r="T39" s="0" t="inlineStr">
        <is>
          <t xml:space="preserve">ZERO_RESIDUAL_NO_SALE</t>
        </is>
      </c>
      <c r="U39" s="9">
        <f>C39-D39-I39-K39-Q39+S39</f>
        <v>2334639473.295964</v>
      </c>
      <c r="V39" s="9">
        <v>0</v>
      </c>
      <c r="W39" s="9">
        <v>0</v>
      </c>
      <c r="X39" s="9">
        <f>V39-W39</f>
        <v>0</v>
      </c>
    </row>
    <row r="40">
      <c r="A40" s="0" t="inlineStr">
        <is>
          <t xml:space="preserve">VG-003</t>
        </is>
      </c>
      <c r="B40" s="23">
        <v>6</v>
      </c>
      <c r="C40" s="9">
        <v>3149856334.0626082</v>
      </c>
      <c r="D40" s="9">
        <v>455433331.32</v>
      </c>
      <c r="E40" s="9">
        <v>1485103472.222222</v>
      </c>
      <c r="F40" s="9">
        <v>1209319530.520386</v>
      </c>
      <c r="G40" s="9">
        <v>0</v>
      </c>
      <c r="H40" s="9">
        <v>0</v>
      </c>
      <c r="I40" s="9">
        <v>241863906.10407722</v>
      </c>
      <c r="J40" s="9">
        <v>258892301.42980343</v>
      </c>
      <c r="K40" s="9">
        <v>1275204.6291631758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0" t="inlineStr">
        <is>
          <t xml:space="preserve">ZERO_RESIDUAL_NO_SALE</t>
        </is>
      </c>
      <c r="U40" s="9">
        <f>C40-D40-I40-K40-Q40+S40</f>
        <v>2451283892.0093675</v>
      </c>
      <c r="V40" s="9">
        <v>0</v>
      </c>
      <c r="W40" s="9">
        <v>0</v>
      </c>
      <c r="X40" s="9">
        <f>V40-W40</f>
        <v>0</v>
      </c>
    </row>
    <row r="41">
      <c r="A41" s="0" t="inlineStr">
        <is>
          <t xml:space="preserve">VG-003</t>
        </is>
      </c>
      <c r="B41" s="23">
        <v>7</v>
      </c>
      <c r="C41" s="9">
        <v>3165448122.9162188</v>
      </c>
      <c r="D41" s="9">
        <v>464541997.94640005</v>
      </c>
      <c r="E41" s="9">
        <v>1485103472.222222</v>
      </c>
      <c r="F41" s="9">
        <v>1215802652.7475965</v>
      </c>
      <c r="G41" s="9">
        <v>0</v>
      </c>
      <c r="H41" s="9">
        <v>0</v>
      </c>
      <c r="I41" s="9">
        <v>243160530.5495193</v>
      </c>
      <c r="J41" s="9">
        <v>260173818.32188097</v>
      </c>
      <c r="K41" s="9">
        <v>1281516.8920775354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0" t="inlineStr">
        <is>
          <t xml:space="preserve">ZERO_RESIDUAL_NO_SALE</t>
        </is>
      </c>
      <c r="U41" s="9">
        <f>C41-D41-I41-K41-Q41+S41</f>
        <v>2456464077.528222</v>
      </c>
      <c r="V41" s="9">
        <v>0</v>
      </c>
      <c r="W41" s="9">
        <v>0</v>
      </c>
      <c r="X41" s="9">
        <f>V41-W41</f>
        <v>0</v>
      </c>
    </row>
    <row r="42">
      <c r="A42" s="0" t="inlineStr">
        <is>
          <t xml:space="preserve">VG-003</t>
        </is>
      </c>
      <c r="B42" s="23">
        <v>8</v>
      </c>
      <c r="C42" s="9">
        <v>3181117091.1246533</v>
      </c>
      <c r="D42" s="9">
        <v>473832837.90532804</v>
      </c>
      <c r="E42" s="9">
        <v>1485103472.222222</v>
      </c>
      <c r="F42" s="9">
        <v>1222180780.997103</v>
      </c>
      <c r="G42" s="9">
        <v>0</v>
      </c>
      <c r="H42" s="9">
        <v>0</v>
      </c>
      <c r="I42" s="9">
        <v>244436156.1994206</v>
      </c>
      <c r="J42" s="9">
        <v>261461678.72257423</v>
      </c>
      <c r="K42" s="9">
        <v>1287860.4006932676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0" t="inlineStr">
        <is>
          <t xml:space="preserve">ZERO_RESIDUAL_NO_SALE</t>
        </is>
      </c>
      <c r="U42" s="9">
        <f>C42-D42-I42-K42-Q42+S42</f>
        <v>2461560236.619211</v>
      </c>
      <c r="V42" s="9">
        <v>0</v>
      </c>
      <c r="W42" s="9">
        <v>0</v>
      </c>
      <c r="X42" s="9">
        <f>V42-W42</f>
        <v>0</v>
      </c>
    </row>
    <row r="43">
      <c r="A43" s="0" t="inlineStr">
        <is>
          <t xml:space="preserve">VG-003</t>
        </is>
      </c>
      <c r="B43" s="23">
        <v>9</v>
      </c>
      <c r="C43" s="9">
        <v>3196863620.725721</v>
      </c>
      <c r="D43" s="9">
        <v>483309494.6634346</v>
      </c>
      <c r="E43" s="9">
        <v>1485103472.222222</v>
      </c>
      <c r="F43" s="9">
        <v>1228450653.8400643</v>
      </c>
      <c r="G43" s="9">
        <v>0</v>
      </c>
      <c r="H43" s="9">
        <v>0</v>
      </c>
      <c r="I43" s="9">
        <v>245690130.76801288</v>
      </c>
      <c r="J43" s="9">
        <v>262755914.03225103</v>
      </c>
      <c r="K43" s="9">
        <v>1294235.3096767962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0" t="inlineStr">
        <is>
          <t xml:space="preserve">ZERO_RESIDUAL_NO_SALE</t>
        </is>
      </c>
      <c r="U43" s="9">
        <f>C43-D43-I43-K43-Q43+S43</f>
        <v>2466569759.9845967</v>
      </c>
      <c r="V43" s="9">
        <v>0</v>
      </c>
      <c r="W43" s="9">
        <v>0</v>
      </c>
      <c r="X43" s="9">
        <f>V43-W43</f>
        <v>0</v>
      </c>
    </row>
    <row r="44">
      <c r="A44" s="0" t="inlineStr">
        <is>
          <t xml:space="preserve">VG-003</t>
        </is>
      </c>
      <c r="B44" s="23">
        <v>10</v>
      </c>
      <c r="C44" s="9">
        <v>3212688095.648312</v>
      </c>
      <c r="D44" s="9">
        <v>492975684.5567033</v>
      </c>
      <c r="E44" s="9">
        <v>1485103472.222222</v>
      </c>
      <c r="F44" s="9">
        <v>1234608938.869387</v>
      </c>
      <c r="G44" s="9">
        <v>0</v>
      </c>
      <c r="H44" s="9">
        <v>0</v>
      </c>
      <c r="I44" s="9">
        <v>246921787.77387738</v>
      </c>
      <c r="J44" s="9">
        <v>264056555.80671057</v>
      </c>
      <c r="K44" s="9">
        <v>1300641.7744595408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111382760.41666666</v>
      </c>
      <c r="R44" s="9">
        <v>0</v>
      </c>
      <c r="S44" s="9">
        <v>0</v>
      </c>
      <c r="T44" s="0" t="inlineStr">
        <is>
          <t xml:space="preserve">ZERO_RESIDUAL_NO_SALE</t>
        </is>
      </c>
      <c r="U44" s="9">
        <f>C44-D44-I44-K44-Q44+S44</f>
        <v>2360107221.126606</v>
      </c>
      <c r="V44" s="9">
        <v>0</v>
      </c>
      <c r="W44" s="9">
        <v>0</v>
      </c>
      <c r="X44" s="9">
        <f>V44-W44</f>
        <v>0</v>
      </c>
    </row>
    <row r="45">
      <c r="A45" s="0" t="inlineStr">
        <is>
          <t xml:space="preserve">VG-003</t>
        </is>
      </c>
      <c r="B45" s="23">
        <v>11</v>
      </c>
      <c r="C45" s="9">
        <v>3228590901.7217717</v>
      </c>
      <c r="D45" s="9">
        <v>502835198.2478374</v>
      </c>
      <c r="E45" s="9">
        <v>1485103472.222222</v>
      </c>
      <c r="F45" s="9">
        <v>1240652231.251712</v>
      </c>
      <c r="G45" s="9">
        <v>0</v>
      </c>
      <c r="H45" s="9">
        <v>0</v>
      </c>
      <c r="I45" s="9">
        <v>248130446.25034243</v>
      </c>
      <c r="J45" s="9">
        <v>265363635.75795385</v>
      </c>
      <c r="K45" s="9">
        <v>1307079.9512432814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0" t="inlineStr">
        <is>
          <t xml:space="preserve">ZERO_RESIDUAL_NO_SALE</t>
        </is>
      </c>
      <c r="U45" s="9">
        <f>C45-D45-I45-K45-Q45+S45</f>
        <v>2476318177.2723484</v>
      </c>
      <c r="V45" s="9">
        <v>0</v>
      </c>
      <c r="W45" s="9">
        <v>0</v>
      </c>
      <c r="X45" s="9">
        <f>V45-W45</f>
        <v>0</v>
      </c>
    </row>
    <row r="46">
      <c r="A46" s="0" t="inlineStr">
        <is>
          <t xml:space="preserve">VG-003</t>
        </is>
      </c>
      <c r="B46" s="23">
        <v>12</v>
      </c>
      <c r="C46" s="9">
        <v>3244572426.685294</v>
      </c>
      <c r="D46" s="9">
        <v>512891902.2127941</v>
      </c>
      <c r="E46" s="9">
        <v>1485103472.222222</v>
      </c>
      <c r="F46" s="9">
        <v>1246577052.2502778</v>
      </c>
      <c r="G46" s="9">
        <v>0</v>
      </c>
      <c r="H46" s="9">
        <v>0</v>
      </c>
      <c r="I46" s="9">
        <v>249315410.45005557</v>
      </c>
      <c r="J46" s="9">
        <v>266677185.75495568</v>
      </c>
      <c r="K46" s="9">
        <v>1313549.9970018268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0" t="inlineStr">
        <is>
          <t xml:space="preserve">ZERO_RESIDUAL_NO_SALE</t>
        </is>
      </c>
      <c r="U46" s="9">
        <f>C46-D46-I46-K46-Q46+S46</f>
        <v>2481051564.0254426</v>
      </c>
      <c r="V46" s="9">
        <v>0</v>
      </c>
      <c r="W46" s="9">
        <v>0</v>
      </c>
      <c r="X46" s="9">
        <f>V46-W46</f>
        <v>0</v>
      </c>
    </row>
    <row r="47">
      <c r="A47" s="0" t="inlineStr">
        <is>
          <t xml:space="preserve">VG-003</t>
        </is>
      </c>
      <c r="B47" s="23">
        <v>13</v>
      </c>
      <c r="C47" s="9">
        <v>3260633060.1973863</v>
      </c>
      <c r="D47" s="9">
        <v>523149740.25705004</v>
      </c>
      <c r="E47" s="9">
        <v>1485103472.222222</v>
      </c>
      <c r="F47" s="9">
        <v>1252379847.7181141</v>
      </c>
      <c r="G47" s="9">
        <v>0</v>
      </c>
      <c r="H47" s="9">
        <v>0</v>
      </c>
      <c r="I47" s="9">
        <v>250475969.54362285</v>
      </c>
      <c r="J47" s="9">
        <v>267997237.82444268</v>
      </c>
      <c r="K47" s="9">
        <v>1320052.0694870055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0" t="inlineStr">
        <is>
          <t xml:space="preserve">ZERO_RESIDUAL_NO_SALE</t>
        </is>
      </c>
      <c r="U47" s="9">
        <f>C47-D47-I47-K47-Q47+S47</f>
        <v>2485687298.327226</v>
      </c>
      <c r="V47" s="9">
        <v>0</v>
      </c>
      <c r="W47" s="9">
        <v>0</v>
      </c>
      <c r="X47" s="9">
        <f>V47-W47</f>
        <v>0</v>
      </c>
    </row>
    <row r="48">
      <c r="A48" s="0" t="inlineStr">
        <is>
          <t xml:space="preserve">VG-003</t>
        </is>
      </c>
      <c r="B48" s="23">
        <v>14</v>
      </c>
      <c r="C48" s="9">
        <v>3276773193.845364</v>
      </c>
      <c r="D48" s="9">
        <v>533612735.06219107</v>
      </c>
      <c r="E48" s="9">
        <v>1485103472.222222</v>
      </c>
      <c r="F48" s="9">
        <v>1258056986.560951</v>
      </c>
      <c r="G48" s="9">
        <v>0</v>
      </c>
      <c r="H48" s="9">
        <v>0</v>
      </c>
      <c r="I48" s="9">
        <v>251611397.3121902</v>
      </c>
      <c r="J48" s="9">
        <v>269323824.15167373</v>
      </c>
      <c r="K48" s="9">
        <v>1326586.3272310495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0" t="inlineStr">
        <is>
          <t xml:space="preserve">ZERO_RESIDUAL_NO_SALE</t>
        </is>
      </c>
      <c r="U48" s="9">
        <f>C48-D48-I48-K48-Q48+S48</f>
        <v>2490222475.143752</v>
      </c>
      <c r="V48" s="9">
        <v>0</v>
      </c>
      <c r="W48" s="9">
        <v>0</v>
      </c>
      <c r="X48" s="9">
        <f>V48-W48</f>
        <v>0</v>
      </c>
    </row>
    <row r="49">
      <c r="A49" s="0" t="inlineStr">
        <is>
          <t xml:space="preserve">VG-003</t>
        </is>
      </c>
      <c r="B49" s="23">
        <v>15</v>
      </c>
      <c r="C49" s="9">
        <v>3292993221.1548996</v>
      </c>
      <c r="D49" s="9">
        <v>544284989.7634349</v>
      </c>
      <c r="E49" s="9">
        <v>1485103472.222222</v>
      </c>
      <c r="F49" s="9">
        <v>1263604759.1692426</v>
      </c>
      <c r="G49" s="9">
        <v>0</v>
      </c>
      <c r="H49" s="9">
        <v>0</v>
      </c>
      <c r="I49" s="9">
        <v>252720951.83384854</v>
      </c>
      <c r="J49" s="9">
        <v>0</v>
      </c>
      <c r="K49" s="9">
        <v>-269323824.15167373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269323824.15167373</v>
      </c>
      <c r="T49" s="0" t="inlineStr">
        <is>
          <t xml:space="preserve">ZERO_RESIDUAL_NO_SALE</t>
        </is>
      </c>
      <c r="U49" s="9">
        <f>C49-D49-I49-K49-Q49+S49</f>
        <v>2765311103.70929</v>
      </c>
      <c r="V49" s="9">
        <v>0</v>
      </c>
      <c r="W49" s="9">
        <v>0</v>
      </c>
      <c r="X49" s="9">
        <f>V49-W49</f>
        <v>0</v>
      </c>
    </row>
    <row r="50">
      <c r="A50" s="0" t="inlineStr">
        <is>
          <t xml:space="preserve">VG-004</t>
        </is>
      </c>
      <c r="B50" s="23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32165682291.666668</v>
      </c>
      <c r="M50" s="9">
        <v>29364545928.030304</v>
      </c>
      <c r="N50" s="9">
        <v>2801136363.636365</v>
      </c>
      <c r="O50" s="9">
        <v>30812500000</v>
      </c>
      <c r="P50" s="9">
        <v>1353182291.6666667</v>
      </c>
      <c r="Q50" s="9">
        <v>0</v>
      </c>
      <c r="R50" s="9">
        <v>0</v>
      </c>
      <c r="S50" s="9">
        <v>0</v>
      </c>
      <c r="T50" s="0" t="inlineStr">
        <is>
          <t xml:space="preserve">ZERO_RESIDUAL_NO_SALE</t>
        </is>
      </c>
      <c r="U50" s="9">
        <f>C50-D50-I50-K50-Q50+S50</f>
        <v>0</v>
      </c>
      <c r="V50" s="9">
        <v>32165682291.666668</v>
      </c>
      <c r="W50" s="9">
        <v>32165682291.666668</v>
      </c>
      <c r="X50" s="9">
        <f>V50-W50</f>
        <v>0</v>
      </c>
    </row>
    <row r="51">
      <c r="A51" s="0" t="inlineStr">
        <is>
          <t xml:space="preserve">VG-004</t>
        </is>
      </c>
      <c r="B51" s="23">
        <v>1</v>
      </c>
      <c r="C51" s="9">
        <v>4196253600</v>
      </c>
      <c r="D51" s="9">
        <v>543750000</v>
      </c>
      <c r="E51" s="9">
        <v>1957636395.2020202</v>
      </c>
      <c r="F51" s="9">
        <v>1694867204.7979798</v>
      </c>
      <c r="G51" s="9">
        <v>0</v>
      </c>
      <c r="H51" s="9">
        <v>0</v>
      </c>
      <c r="I51" s="9">
        <v>338973440.959596</v>
      </c>
      <c r="J51" s="9">
        <v>344897556.1643836</v>
      </c>
      <c r="K51" s="9">
        <v>344897556.1643836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0" t="inlineStr">
        <is>
          <t xml:space="preserve">ZERO_RESIDUAL_NO_SALE</t>
        </is>
      </c>
      <c r="U51" s="9">
        <f>C51-D51-I51-K51-Q51+S51</f>
        <v>2968632602.8760204</v>
      </c>
      <c r="V51" s="9">
        <v>0</v>
      </c>
      <c r="W51" s="9">
        <v>0</v>
      </c>
      <c r="X51" s="9">
        <f>V51-W51</f>
        <v>0</v>
      </c>
    </row>
    <row r="52">
      <c r="A52" s="0" t="inlineStr">
        <is>
          <t xml:space="preserve">VG-004</t>
        </is>
      </c>
      <c r="B52" s="23">
        <v>2</v>
      </c>
      <c r="C52" s="9">
        <v>4217025055.32</v>
      </c>
      <c r="D52" s="9">
        <v>554625000</v>
      </c>
      <c r="E52" s="9">
        <v>1957636395.2020202</v>
      </c>
      <c r="F52" s="9">
        <v>1704763660.11798</v>
      </c>
      <c r="G52" s="9">
        <v>0</v>
      </c>
      <c r="H52" s="9">
        <v>0</v>
      </c>
      <c r="I52" s="9">
        <v>340952732.02359605</v>
      </c>
      <c r="J52" s="9">
        <v>346604799.0673973</v>
      </c>
      <c r="K52" s="9">
        <v>1707242.9030137062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0" t="inlineStr">
        <is>
          <t xml:space="preserve">ZERO_RESIDUAL_NO_SALE</t>
        </is>
      </c>
      <c r="U52" s="9">
        <f>C52-D52-I52-K52-Q52+S52</f>
        <v>3319740080.39339</v>
      </c>
      <c r="V52" s="9">
        <v>0</v>
      </c>
      <c r="W52" s="9">
        <v>0</v>
      </c>
      <c r="X52" s="9">
        <f>V52-W52</f>
        <v>0</v>
      </c>
    </row>
    <row r="53">
      <c r="A53" s="0" t="inlineStr">
        <is>
          <t xml:space="preserve">VG-004</t>
        </is>
      </c>
      <c r="B53" s="23">
        <v>3</v>
      </c>
      <c r="C53" s="9">
        <v>4237899329.3438344</v>
      </c>
      <c r="D53" s="9">
        <v>565717500</v>
      </c>
      <c r="E53" s="9">
        <v>1957636395.2020202</v>
      </c>
      <c r="F53" s="9">
        <v>1714545434.1418142</v>
      </c>
      <c r="G53" s="9">
        <v>0</v>
      </c>
      <c r="H53" s="9">
        <v>0</v>
      </c>
      <c r="I53" s="9">
        <v>342909086.8283629</v>
      </c>
      <c r="J53" s="9">
        <v>348320492.8227809</v>
      </c>
      <c r="K53" s="9">
        <v>1715693.7553836107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0" t="inlineStr">
        <is>
          <t xml:space="preserve">ZERO_RESIDUAL_NO_SALE</t>
        </is>
      </c>
      <c r="U53" s="9">
        <f>C53-D53-I53-K53-Q53+S53</f>
        <v>3327557048.760088</v>
      </c>
      <c r="V53" s="9">
        <v>0</v>
      </c>
      <c r="W53" s="9">
        <v>0</v>
      </c>
      <c r="X53" s="9">
        <f>V53-W53</f>
        <v>0</v>
      </c>
    </row>
    <row r="54">
      <c r="A54" s="0" t="inlineStr">
        <is>
          <t xml:space="preserve">VG-004</t>
        </is>
      </c>
      <c r="B54" s="23">
        <v>4</v>
      </c>
      <c r="C54" s="9">
        <v>4258876931.0240865</v>
      </c>
      <c r="D54" s="9">
        <v>577031850.0000001</v>
      </c>
      <c r="E54" s="9">
        <v>1957636395.2020202</v>
      </c>
      <c r="F54" s="9">
        <v>1724208685.8220663</v>
      </c>
      <c r="G54" s="9">
        <v>0</v>
      </c>
      <c r="H54" s="9">
        <v>0</v>
      </c>
      <c r="I54" s="9">
        <v>344841737.1644133</v>
      </c>
      <c r="J54" s="9">
        <v>350044679.2622537</v>
      </c>
      <c r="K54" s="9">
        <v>1724186.4394727945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0" t="inlineStr">
        <is>
          <t xml:space="preserve">ZERO_RESIDUAL_NO_SALE</t>
        </is>
      </c>
      <c r="U54" s="9">
        <f>C54-D54-I54-K54-Q54+S54</f>
        <v>3335279157.4202003</v>
      </c>
      <c r="V54" s="9">
        <v>0</v>
      </c>
      <c r="W54" s="9">
        <v>0</v>
      </c>
      <c r="X54" s="9">
        <f>V54-W54</f>
        <v>0</v>
      </c>
    </row>
    <row r="55">
      <c r="A55" s="0" t="inlineStr">
        <is>
          <t xml:space="preserve">VG-004</t>
        </is>
      </c>
      <c r="B55" s="23">
        <v>5</v>
      </c>
      <c r="C55" s="9">
        <v>4279958371.8326554</v>
      </c>
      <c r="D55" s="9">
        <v>588572487</v>
      </c>
      <c r="E55" s="9">
        <v>1957636395.2020202</v>
      </c>
      <c r="F55" s="9">
        <v>1733749489.6306353</v>
      </c>
      <c r="G55" s="9">
        <v>0</v>
      </c>
      <c r="H55" s="9">
        <v>0</v>
      </c>
      <c r="I55" s="9">
        <v>346749897.9261271</v>
      </c>
      <c r="J55" s="9">
        <v>351777400.4246018</v>
      </c>
      <c r="K55" s="9">
        <v>1732721.1623480916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146822729.64015153</v>
      </c>
      <c r="R55" s="9">
        <v>0</v>
      </c>
      <c r="S55" s="9">
        <v>0</v>
      </c>
      <c r="T55" s="0" t="inlineStr">
        <is>
          <t xml:space="preserve">ZERO_RESIDUAL_NO_SALE</t>
        </is>
      </c>
      <c r="U55" s="9">
        <f>C55-D55-I55-K55-Q55+S55</f>
        <v>3196080536.1040287</v>
      </c>
      <c r="V55" s="9">
        <v>0</v>
      </c>
      <c r="W55" s="9">
        <v>0</v>
      </c>
      <c r="X55" s="9">
        <f>V55-W55</f>
        <v>0</v>
      </c>
    </row>
    <row r="56">
      <c r="A56" s="0" t="inlineStr">
        <is>
          <t xml:space="preserve">VG-004</t>
        </is>
      </c>
      <c r="B56" s="23">
        <v>6</v>
      </c>
      <c r="C56" s="9">
        <v>4301144165.773228</v>
      </c>
      <c r="D56" s="9">
        <v>600343936.74</v>
      </c>
      <c r="E56" s="9">
        <v>1957636395.2020202</v>
      </c>
      <c r="F56" s="9">
        <v>1743163833.8312078</v>
      </c>
      <c r="G56" s="9">
        <v>0</v>
      </c>
      <c r="H56" s="9">
        <v>0</v>
      </c>
      <c r="I56" s="9">
        <v>348632766.76624155</v>
      </c>
      <c r="J56" s="9">
        <v>353518698.5567037</v>
      </c>
      <c r="K56" s="9">
        <v>1741298.1321018934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0" t="inlineStr">
        <is>
          <t xml:space="preserve">ZERO_RESIDUAL_NO_SALE</t>
        </is>
      </c>
      <c r="U56" s="9">
        <f>C56-D56-I56-K56-Q56+S56</f>
        <v>3350426164.1348844</v>
      </c>
      <c r="V56" s="9">
        <v>0</v>
      </c>
      <c r="W56" s="9">
        <v>0</v>
      </c>
      <c r="X56" s="9">
        <f>V56-W56</f>
        <v>0</v>
      </c>
    </row>
    <row r="57">
      <c r="A57" s="0" t="inlineStr">
        <is>
          <t xml:space="preserve">VG-004</t>
        </is>
      </c>
      <c r="B57" s="23">
        <v>7</v>
      </c>
      <c r="C57" s="9">
        <v>4322434829.393805</v>
      </c>
      <c r="D57" s="9">
        <v>612350815.4748</v>
      </c>
      <c r="E57" s="9">
        <v>1957636395.2020202</v>
      </c>
      <c r="F57" s="9">
        <v>1752447618.7169843</v>
      </c>
      <c r="G57" s="9">
        <v>0</v>
      </c>
      <c r="H57" s="9">
        <v>0</v>
      </c>
      <c r="I57" s="9">
        <v>350489523.7433969</v>
      </c>
      <c r="J57" s="9">
        <v>355268616.1145593</v>
      </c>
      <c r="K57" s="9">
        <v>1749917.557855606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0" t="inlineStr">
        <is>
          <t xml:space="preserve">ZERO_RESIDUAL_NO_SALE</t>
        </is>
      </c>
      <c r="U57" s="9">
        <f>C57-D57-I57-K57-Q57+S57</f>
        <v>3357844572.617752</v>
      </c>
      <c r="V57" s="9">
        <v>0</v>
      </c>
      <c r="W57" s="9">
        <v>0</v>
      </c>
      <c r="X57" s="9">
        <f>V57-W57</f>
        <v>0</v>
      </c>
    </row>
    <row r="58">
      <c r="A58" s="0" t="inlineStr">
        <is>
          <t xml:space="preserve">VG-004</t>
        </is>
      </c>
      <c r="B58" s="23">
        <v>8</v>
      </c>
      <c r="C58" s="9">
        <v>4343830881.799304</v>
      </c>
      <c r="D58" s="9">
        <v>624597831.784296</v>
      </c>
      <c r="E58" s="9">
        <v>1957636395.2020202</v>
      </c>
      <c r="F58" s="9">
        <v>1761596654.8129878</v>
      </c>
      <c r="G58" s="9">
        <v>0</v>
      </c>
      <c r="H58" s="9">
        <v>0</v>
      </c>
      <c r="I58" s="9">
        <v>352319330.9625976</v>
      </c>
      <c r="J58" s="9">
        <v>357027195.7643264</v>
      </c>
      <c r="K58" s="9">
        <v>1758579.6497671008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0" t="inlineStr">
        <is>
          <t xml:space="preserve">ZERO_RESIDUAL_NO_SALE</t>
        </is>
      </c>
      <c r="U58" s="9">
        <f>C58-D58-I58-K58-Q58+S58</f>
        <v>3365155139.402643</v>
      </c>
      <c r="V58" s="9">
        <v>0</v>
      </c>
      <c r="W58" s="9">
        <v>0</v>
      </c>
      <c r="X58" s="9">
        <f>V58-W58</f>
        <v>0</v>
      </c>
    </row>
    <row r="59">
      <c r="A59" s="0" t="inlineStr">
        <is>
          <t xml:space="preserve">VG-004</t>
        </is>
      </c>
      <c r="B59" s="23">
        <v>9</v>
      </c>
      <c r="C59" s="9">
        <v>4365332844.66421</v>
      </c>
      <c r="D59" s="9">
        <v>637089788.419982</v>
      </c>
      <c r="E59" s="9">
        <v>1957636395.2020202</v>
      </c>
      <c r="F59" s="9">
        <v>1770606661.0422082</v>
      </c>
      <c r="G59" s="9">
        <v>0</v>
      </c>
      <c r="H59" s="9">
        <v>0</v>
      </c>
      <c r="I59" s="9">
        <v>354121332.2084417</v>
      </c>
      <c r="J59" s="9">
        <v>358794480.3833598</v>
      </c>
      <c r="K59" s="9">
        <v>1767284.6190333962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0" t="inlineStr">
        <is>
          <t xml:space="preserve">ZERO_RESIDUAL_NO_SALE</t>
        </is>
      </c>
      <c r="U59" s="9">
        <f>C59-D59-I59-K59-Q59+S59</f>
        <v>3372354439.4167533</v>
      </c>
      <c r="V59" s="9">
        <v>0</v>
      </c>
      <c r="W59" s="9">
        <v>0</v>
      </c>
      <c r="X59" s="9">
        <f>V59-W59</f>
        <v>0</v>
      </c>
    </row>
    <row r="60">
      <c r="A60" s="0" t="inlineStr">
        <is>
          <t xml:space="preserve">VG-004</t>
        </is>
      </c>
      <c r="B60" s="23">
        <v>10</v>
      </c>
      <c r="C60" s="9">
        <v>4386941242.245297</v>
      </c>
      <c r="D60" s="9">
        <v>649831584.1883817</v>
      </c>
      <c r="E60" s="9">
        <v>1957636395.2020202</v>
      </c>
      <c r="F60" s="9">
        <v>1779473262.8548956</v>
      </c>
      <c r="G60" s="9">
        <v>0</v>
      </c>
      <c r="H60" s="9">
        <v>0</v>
      </c>
      <c r="I60" s="9">
        <v>355894652.5709791</v>
      </c>
      <c r="J60" s="9">
        <v>360570513.0612573</v>
      </c>
      <c r="K60" s="9">
        <v>1776032.677897513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146822729.64015153</v>
      </c>
      <c r="R60" s="9">
        <v>0</v>
      </c>
      <c r="S60" s="9">
        <v>0</v>
      </c>
      <c r="T60" s="0" t="inlineStr">
        <is>
          <t xml:space="preserve">ZERO_RESIDUAL_NO_SALE</t>
        </is>
      </c>
      <c r="U60" s="9">
        <f>C60-D60-I60-K60-Q60+S60</f>
        <v>3232616243.1678877</v>
      </c>
      <c r="V60" s="9">
        <v>0</v>
      </c>
      <c r="W60" s="9">
        <v>0</v>
      </c>
      <c r="X60" s="9">
        <f>V60-W60</f>
        <v>0</v>
      </c>
    </row>
    <row r="61">
      <c r="A61" s="0" t="inlineStr">
        <is>
          <t xml:space="preserve">VG-004</t>
        </is>
      </c>
      <c r="B61" s="23">
        <v>11</v>
      </c>
      <c r="C61" s="9">
        <v>4408656601.394412</v>
      </c>
      <c r="D61" s="9">
        <v>662828215.8721493</v>
      </c>
      <c r="E61" s="9">
        <v>1957636395.2020202</v>
      </c>
      <c r="F61" s="9">
        <v>1788191990.3202424</v>
      </c>
      <c r="G61" s="9">
        <v>0</v>
      </c>
      <c r="H61" s="9">
        <v>0</v>
      </c>
      <c r="I61" s="9">
        <v>357638398.0640485</v>
      </c>
      <c r="J61" s="9">
        <v>362355337.1009106</v>
      </c>
      <c r="K61" s="9">
        <v>1784824.0396533012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0" t="inlineStr">
        <is>
          <t xml:space="preserve">ZERO_RESIDUAL_NO_SALE</t>
        </is>
      </c>
      <c r="U61" s="9">
        <f>C61-D61-I61-K61-Q61+S61</f>
        <v>3386405163.4185605</v>
      </c>
      <c r="V61" s="9">
        <v>0</v>
      </c>
      <c r="W61" s="9">
        <v>0</v>
      </c>
      <c r="X61" s="9">
        <f>V61-W61</f>
        <v>0</v>
      </c>
    </row>
    <row r="62">
      <c r="A62" s="0" t="inlineStr">
        <is>
          <t xml:space="preserve">VG-004</t>
        </is>
      </c>
      <c r="B62" s="23">
        <v>12</v>
      </c>
      <c r="C62" s="9">
        <v>4430479451.571314</v>
      </c>
      <c r="D62" s="9">
        <v>676084780.1895922</v>
      </c>
      <c r="E62" s="9">
        <v>1957636395.2020202</v>
      </c>
      <c r="F62" s="9">
        <v>1796758276.1797013</v>
      </c>
      <c r="G62" s="9">
        <v>0</v>
      </c>
      <c r="H62" s="9">
        <v>0</v>
      </c>
      <c r="I62" s="9">
        <v>359351655.2359403</v>
      </c>
      <c r="J62" s="9">
        <v>364148996.01956004</v>
      </c>
      <c r="K62" s="9">
        <v>1793658.918649435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0" t="inlineStr">
        <is>
          <t xml:space="preserve">ZERO_RESIDUAL_NO_SALE</t>
        </is>
      </c>
      <c r="U62" s="9">
        <f>C62-D62-I62-K62-Q62+S62</f>
        <v>3393249357.227132</v>
      </c>
      <c r="V62" s="9">
        <v>0</v>
      </c>
      <c r="W62" s="9">
        <v>0</v>
      </c>
      <c r="X62" s="9">
        <f>V62-W62</f>
        <v>0</v>
      </c>
    </row>
    <row r="63">
      <c r="A63" s="0" t="inlineStr">
        <is>
          <t xml:space="preserve">VG-004</t>
        </is>
      </c>
      <c r="B63" s="23">
        <v>13</v>
      </c>
      <c r="C63" s="9">
        <v>4452410324.856593</v>
      </c>
      <c r="D63" s="9">
        <v>689606475.7933841</v>
      </c>
      <c r="E63" s="9">
        <v>1957636395.2020202</v>
      </c>
      <c r="F63" s="9">
        <v>1805167453.861189</v>
      </c>
      <c r="G63" s="9">
        <v>0</v>
      </c>
      <c r="H63" s="9">
        <v>0</v>
      </c>
      <c r="I63" s="9">
        <v>361033490.7722378</v>
      </c>
      <c r="J63" s="9">
        <v>365951533.54985696</v>
      </c>
      <c r="K63" s="9">
        <v>1802537.5302969217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0" t="inlineStr">
        <is>
          <t xml:space="preserve">ZERO_RESIDUAL_NO_SALE</t>
        </is>
      </c>
      <c r="U63" s="9">
        <f>C63-D63-I63-K63-Q63+S63</f>
        <v>3399967820.7606745</v>
      </c>
      <c r="V63" s="9">
        <v>0</v>
      </c>
      <c r="W63" s="9">
        <v>0</v>
      </c>
      <c r="X63" s="9">
        <f>V63-W63</f>
        <v>0</v>
      </c>
    </row>
    <row r="64">
      <c r="A64" s="0" t="inlineStr">
        <is>
          <t xml:space="preserve">VG-004</t>
        </is>
      </c>
      <c r="B64" s="23">
        <v>14</v>
      </c>
      <c r="C64" s="9">
        <v>4474449755.964633</v>
      </c>
      <c r="D64" s="9">
        <v>703398605.3092519</v>
      </c>
      <c r="E64" s="9">
        <v>1957636395.2020202</v>
      </c>
      <c r="F64" s="9">
        <v>1813414755.453361</v>
      </c>
      <c r="G64" s="9">
        <v>0</v>
      </c>
      <c r="H64" s="9">
        <v>0</v>
      </c>
      <c r="I64" s="9">
        <v>362682951.09067225</v>
      </c>
      <c r="J64" s="9">
        <v>367762993.64092875</v>
      </c>
      <c r="K64" s="9">
        <v>1811460.0910717845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0" t="inlineStr">
        <is>
          <t xml:space="preserve">ZERO_RESIDUAL_NO_SALE</t>
        </is>
      </c>
      <c r="U64" s="9">
        <f>C64-D64-I64-K64-Q64+S64</f>
        <v>3406556739.473637</v>
      </c>
      <c r="V64" s="9">
        <v>0</v>
      </c>
      <c r="W64" s="9">
        <v>0</v>
      </c>
      <c r="X64" s="9">
        <f>V64-W64</f>
        <v>0</v>
      </c>
    </row>
    <row r="65">
      <c r="A65" s="0" t="inlineStr">
        <is>
          <t xml:space="preserve">VG-004</t>
        </is>
      </c>
      <c r="B65" s="23">
        <v>15</v>
      </c>
      <c r="C65" s="9">
        <v>4496598282.256659</v>
      </c>
      <c r="D65" s="9">
        <v>717466577.4154369</v>
      </c>
      <c r="E65" s="9">
        <v>1957636395.2020202</v>
      </c>
      <c r="F65" s="9">
        <v>1821495309.6392016</v>
      </c>
      <c r="G65" s="9">
        <v>0</v>
      </c>
      <c r="H65" s="9">
        <v>0</v>
      </c>
      <c r="I65" s="9">
        <v>364299061.92784035</v>
      </c>
      <c r="J65" s="9">
        <v>0</v>
      </c>
      <c r="K65" s="9">
        <v>-367762993.64092875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367762993.64092875</v>
      </c>
      <c r="T65" s="0" t="inlineStr">
        <is>
          <t xml:space="preserve">ZERO_RESIDUAL_NO_SALE</t>
        </is>
      </c>
      <c r="U65" s="9">
        <f>C65-D65-I65-K65-Q65+S65</f>
        <v>3782595636.5543103</v>
      </c>
      <c r="V65" s="9">
        <v>0</v>
      </c>
      <c r="W65" s="9">
        <v>0</v>
      </c>
      <c r="X65" s="9">
        <f>V65-W65</f>
        <v>0</v>
      </c>
    </row>
    <row r="66">
      <c r="A66" s="0" t="inlineStr">
        <is>
          <t xml:space="preserve">VG-005</t>
        </is>
      </c>
      <c r="B66" s="23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26619875000</v>
      </c>
      <c r="M66" s="9">
        <v>24301693181.81818</v>
      </c>
      <c r="N66" s="9">
        <v>2318181818.181821</v>
      </c>
      <c r="O66" s="9">
        <v>25500000000</v>
      </c>
      <c r="P66" s="9">
        <v>1119875000</v>
      </c>
      <c r="Q66" s="9">
        <v>0</v>
      </c>
      <c r="R66" s="9">
        <v>0</v>
      </c>
      <c r="S66" s="9">
        <v>0</v>
      </c>
      <c r="T66" s="0" t="inlineStr">
        <is>
          <t xml:space="preserve">ZERO_RESIDUAL_NO_SALE</t>
        </is>
      </c>
      <c r="U66" s="9">
        <f>C66-D66-I66-K66-Q66+S66</f>
        <v>0</v>
      </c>
      <c r="V66" s="9">
        <v>26619875000</v>
      </c>
      <c r="W66" s="9">
        <v>26619875000</v>
      </c>
      <c r="X66" s="9">
        <f>V66-W66</f>
        <v>0</v>
      </c>
    </row>
    <row r="67">
      <c r="A67" s="0" t="inlineStr">
        <is>
          <t xml:space="preserve">VG-005</t>
        </is>
      </c>
      <c r="B67" s="23">
        <v>1</v>
      </c>
      <c r="C67" s="9">
        <v>3969928320.000001</v>
      </c>
      <c r="D67" s="9">
        <v>450000000</v>
      </c>
      <c r="E67" s="9">
        <v>1620112878.7878788</v>
      </c>
      <c r="F67" s="9">
        <v>1899815441.2121222</v>
      </c>
      <c r="G67" s="9">
        <v>0</v>
      </c>
      <c r="H67" s="9">
        <v>0</v>
      </c>
      <c r="I67" s="9">
        <v>379963088.2424245</v>
      </c>
      <c r="J67" s="9">
        <v>326295478.35616446</v>
      </c>
      <c r="K67" s="9">
        <v>326295478.35616446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0" t="inlineStr">
        <is>
          <t xml:space="preserve">ZERO_RESIDUAL_NO_SALE</t>
        </is>
      </c>
      <c r="U67" s="9">
        <f>C67-D67-I67-K67-Q67+S67</f>
        <v>2813669753.401412</v>
      </c>
      <c r="V67" s="9">
        <v>0</v>
      </c>
      <c r="W67" s="9">
        <v>0</v>
      </c>
      <c r="X67" s="9">
        <f>V67-W67</f>
        <v>0</v>
      </c>
    </row>
    <row r="68">
      <c r="A68" s="0" t="inlineStr">
        <is>
          <t xml:space="preserve">VG-005</t>
        </is>
      </c>
      <c r="B68" s="23">
        <v>2</v>
      </c>
      <c r="C68" s="9">
        <v>3989579465.1840005</v>
      </c>
      <c r="D68" s="9">
        <v>459000000</v>
      </c>
      <c r="E68" s="9">
        <v>1620112878.7878788</v>
      </c>
      <c r="F68" s="9">
        <v>1910466586.3961217</v>
      </c>
      <c r="G68" s="9">
        <v>0</v>
      </c>
      <c r="H68" s="9">
        <v>0</v>
      </c>
      <c r="I68" s="9">
        <v>382093317.2792244</v>
      </c>
      <c r="J68" s="9">
        <v>327910640.97402745</v>
      </c>
      <c r="K68" s="9">
        <v>1615162.6178629994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0" t="inlineStr">
        <is>
          <t xml:space="preserve">ZERO_RESIDUAL_NO_SALE</t>
        </is>
      </c>
      <c r="U68" s="9">
        <f>C68-D68-I68-K68-Q68+S68</f>
        <v>3146870985.286913</v>
      </c>
      <c r="V68" s="9">
        <v>0</v>
      </c>
      <c r="W68" s="9">
        <v>0</v>
      </c>
      <c r="X68" s="9">
        <f>V68-W68</f>
        <v>0</v>
      </c>
    </row>
    <row r="69">
      <c r="A69" s="0" t="inlineStr">
        <is>
          <t xml:space="preserve">VG-005</t>
        </is>
      </c>
      <c r="B69" s="23">
        <v>3</v>
      </c>
      <c r="C69" s="9">
        <v>4009327883.536662</v>
      </c>
      <c r="D69" s="9">
        <v>468180000</v>
      </c>
      <c r="E69" s="9">
        <v>1620112878.7878788</v>
      </c>
      <c r="F69" s="9">
        <v>1921035004.7487833</v>
      </c>
      <c r="G69" s="9">
        <v>0</v>
      </c>
      <c r="H69" s="9">
        <v>0</v>
      </c>
      <c r="I69" s="9">
        <v>384207000.9497567</v>
      </c>
      <c r="J69" s="9">
        <v>329533798.646849</v>
      </c>
      <c r="K69" s="9">
        <v>1623157.6728215218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0" t="inlineStr">
        <is>
          <t xml:space="preserve">ZERO_RESIDUAL_NO_SALE</t>
        </is>
      </c>
      <c r="U69" s="9">
        <f>C69-D69-I69-K69-Q69+S69</f>
        <v>3155317724.914084</v>
      </c>
      <c r="V69" s="9">
        <v>0</v>
      </c>
      <c r="W69" s="9">
        <v>0</v>
      </c>
      <c r="X69" s="9">
        <f>V69-W69</f>
        <v>0</v>
      </c>
    </row>
    <row r="70">
      <c r="A70" s="0" t="inlineStr">
        <is>
          <t xml:space="preserve">VG-005</t>
        </is>
      </c>
      <c r="B70" s="23">
        <v>4</v>
      </c>
      <c r="C70" s="9">
        <v>4029174056.5601687</v>
      </c>
      <c r="D70" s="9">
        <v>477543600.00000006</v>
      </c>
      <c r="E70" s="9">
        <v>1620112878.7878788</v>
      </c>
      <c r="F70" s="9">
        <v>1931517577.77229</v>
      </c>
      <c r="G70" s="9">
        <v>0</v>
      </c>
      <c r="H70" s="9">
        <v>0</v>
      </c>
      <c r="I70" s="9">
        <v>386303515.554458</v>
      </c>
      <c r="J70" s="9">
        <v>331164990.95015085</v>
      </c>
      <c r="K70" s="9">
        <v>1631192.3033018708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0" t="inlineStr">
        <is>
          <t xml:space="preserve">ZERO_RESIDUAL_NO_SALE</t>
        </is>
      </c>
      <c r="U70" s="9">
        <f>C70-D70-I70-K70-Q70+S70</f>
        <v>3163695748.702409</v>
      </c>
      <c r="V70" s="9">
        <v>0</v>
      </c>
      <c r="W70" s="9">
        <v>0</v>
      </c>
      <c r="X70" s="9">
        <f>V70-W70</f>
        <v>0</v>
      </c>
    </row>
    <row r="71">
      <c r="A71" s="0" t="inlineStr">
        <is>
          <t xml:space="preserve">VG-005</t>
        </is>
      </c>
      <c r="B71" s="23">
        <v>5</v>
      </c>
      <c r="C71" s="9">
        <v>4049118468.140141</v>
      </c>
      <c r="D71" s="9">
        <v>487094472</v>
      </c>
      <c r="E71" s="9">
        <v>1620112878.7878788</v>
      </c>
      <c r="F71" s="9">
        <v>1941911117.3522623</v>
      </c>
      <c r="G71" s="9">
        <v>0</v>
      </c>
      <c r="H71" s="9">
        <v>0</v>
      </c>
      <c r="I71" s="9">
        <v>388382223.4704525</v>
      </c>
      <c r="J71" s="9">
        <v>332804257.655354</v>
      </c>
      <c r="K71" s="9">
        <v>1639266.7052031755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121508465.9090909</v>
      </c>
      <c r="R71" s="9">
        <v>0</v>
      </c>
      <c r="S71" s="9">
        <v>0</v>
      </c>
      <c r="T71" s="0" t="inlineStr">
        <is>
          <t xml:space="preserve">ZERO_RESIDUAL_NO_SALE</t>
        </is>
      </c>
      <c r="U71" s="9">
        <f>C71-D71-I71-K71-Q71+S71</f>
        <v>3050494040.0553946</v>
      </c>
      <c r="V71" s="9">
        <v>0</v>
      </c>
      <c r="W71" s="9">
        <v>0</v>
      </c>
      <c r="X71" s="9">
        <f>V71-W71</f>
        <v>0</v>
      </c>
    </row>
    <row r="72">
      <c r="A72" s="0" t="inlineStr">
        <is>
          <t xml:space="preserve">VG-005</t>
        </is>
      </c>
      <c r="B72" s="23">
        <v>6</v>
      </c>
      <c r="C72" s="9">
        <v>4069161604.557435</v>
      </c>
      <c r="D72" s="9">
        <v>496836361.44</v>
      </c>
      <c r="E72" s="9">
        <v>1620112878.7878788</v>
      </c>
      <c r="F72" s="9">
        <v>1952212364.3295562</v>
      </c>
      <c r="G72" s="9">
        <v>0</v>
      </c>
      <c r="H72" s="9">
        <v>0</v>
      </c>
      <c r="I72" s="9">
        <v>390442472.86591125</v>
      </c>
      <c r="J72" s="9">
        <v>334451638.7307481</v>
      </c>
      <c r="K72" s="9">
        <v>1647381.075394094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0" t="inlineStr">
        <is>
          <t xml:space="preserve">ZERO_RESIDUAL_NO_SALE</t>
        </is>
      </c>
      <c r="U72" s="9">
        <f>C72-D72-I72-K72-Q72+S72</f>
        <v>3180235389.17613</v>
      </c>
      <c r="V72" s="9">
        <v>0</v>
      </c>
      <c r="W72" s="9">
        <v>0</v>
      </c>
      <c r="X72" s="9">
        <f>V72-W72</f>
        <v>0</v>
      </c>
    </row>
    <row r="73">
      <c r="A73" s="0" t="inlineStr">
        <is>
          <t xml:space="preserve">VG-005</t>
        </is>
      </c>
      <c r="B73" s="23">
        <v>7</v>
      </c>
      <c r="C73" s="9">
        <v>4089303954.4999943</v>
      </c>
      <c r="D73" s="9">
        <v>506773088.66880006</v>
      </c>
      <c r="E73" s="9">
        <v>1620112878.7878788</v>
      </c>
      <c r="F73" s="9">
        <v>1962417987.0433156</v>
      </c>
      <c r="G73" s="9">
        <v>0</v>
      </c>
      <c r="H73" s="9">
        <v>0</v>
      </c>
      <c r="I73" s="9">
        <v>392483597.40866315</v>
      </c>
      <c r="J73" s="9">
        <v>336107174.3424653</v>
      </c>
      <c r="K73" s="9">
        <v>1655535.6117171645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0" t="inlineStr">
        <is>
          <t xml:space="preserve">ZERO_RESIDUAL_NO_SALE</t>
        </is>
      </c>
      <c r="U73" s="9">
        <f>C73-D73-I73-K73-Q73+S73</f>
        <v>3188391732.810814</v>
      </c>
      <c r="V73" s="9">
        <v>0</v>
      </c>
      <c r="W73" s="9">
        <v>0</v>
      </c>
      <c r="X73" s="9">
        <f>V73-W73</f>
        <v>0</v>
      </c>
    </row>
    <row r="74">
      <c r="A74" s="0" t="inlineStr">
        <is>
          <t xml:space="preserve">VG-005</t>
        </is>
      </c>
      <c r="B74" s="23">
        <v>8</v>
      </c>
      <c r="C74" s="9">
        <v>4109546009.074769</v>
      </c>
      <c r="D74" s="9">
        <v>516908550.44217604</v>
      </c>
      <c r="E74" s="9">
        <v>1620112878.7878788</v>
      </c>
      <c r="F74" s="9">
        <v>1972524579.8447144</v>
      </c>
      <c r="G74" s="9">
        <v>0</v>
      </c>
      <c r="H74" s="9">
        <v>0</v>
      </c>
      <c r="I74" s="9">
        <v>394504915.9689429</v>
      </c>
      <c r="J74" s="9">
        <v>337770904.85546046</v>
      </c>
      <c r="K74" s="9">
        <v>1663730.5129951835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0" t="inlineStr">
        <is>
          <t xml:space="preserve">ZERO_RESIDUAL_NO_SALE</t>
        </is>
      </c>
      <c r="U74" s="9">
        <f>C74-D74-I74-K74-Q74+S74</f>
        <v>3196468812.1506553</v>
      </c>
      <c r="V74" s="9">
        <v>0</v>
      </c>
      <c r="W74" s="9">
        <v>0</v>
      </c>
      <c r="X74" s="9">
        <f>V74-W74</f>
        <v>0</v>
      </c>
    </row>
    <row r="75">
      <c r="A75" s="0" t="inlineStr">
        <is>
          <t xml:space="preserve">VG-005</t>
        </is>
      </c>
      <c r="B75" s="23">
        <v>9</v>
      </c>
      <c r="C75" s="9">
        <v>4129888261.8196893</v>
      </c>
      <c r="D75" s="9">
        <v>527246721.4510196</v>
      </c>
      <c r="E75" s="9">
        <v>1620112878.7878788</v>
      </c>
      <c r="F75" s="9">
        <v>1982528661.5807908</v>
      </c>
      <c r="G75" s="9">
        <v>0</v>
      </c>
      <c r="H75" s="9">
        <v>0</v>
      </c>
      <c r="I75" s="9">
        <v>396505732.3161582</v>
      </c>
      <c r="J75" s="9">
        <v>339442870.834495</v>
      </c>
      <c r="K75" s="9">
        <v>1671965.979034543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0" t="inlineStr">
        <is>
          <t xml:space="preserve">ZERO_RESIDUAL_NO_SALE</t>
        </is>
      </c>
      <c r="U75" s="9">
        <f>C75-D75-I75-K75-Q75+S75</f>
        <v>3204463842.073477</v>
      </c>
      <c r="V75" s="9">
        <v>0</v>
      </c>
      <c r="W75" s="9">
        <v>0</v>
      </c>
      <c r="X75" s="9">
        <f>V75-W75</f>
        <v>0</v>
      </c>
    </row>
    <row r="76">
      <c r="A76" s="0" t="inlineStr">
        <is>
          <t xml:space="preserve">VG-005</t>
        </is>
      </c>
      <c r="B76" s="23">
        <v>10</v>
      </c>
      <c r="C76" s="9">
        <v>4150331208.715696</v>
      </c>
      <c r="D76" s="9">
        <v>537791655.8800399</v>
      </c>
      <c r="E76" s="9">
        <v>1620112878.7878788</v>
      </c>
      <c r="F76" s="9">
        <v>1992426674.0477774</v>
      </c>
      <c r="G76" s="9">
        <v>0</v>
      </c>
      <c r="H76" s="9">
        <v>0</v>
      </c>
      <c r="I76" s="9">
        <v>398485334.80955553</v>
      </c>
      <c r="J76" s="9">
        <v>341123113.04512566</v>
      </c>
      <c r="K76" s="9">
        <v>1680242.2106306553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121508465.9090909</v>
      </c>
      <c r="R76" s="9">
        <v>0</v>
      </c>
      <c r="S76" s="9">
        <v>0</v>
      </c>
      <c r="T76" s="0" t="inlineStr">
        <is>
          <t xml:space="preserve">ZERO_RESIDUAL_NO_SALE</t>
        </is>
      </c>
      <c r="U76" s="9">
        <f>C76-D76-I76-K76-Q76+S76</f>
        <v>3090865509.9063787</v>
      </c>
      <c r="V76" s="9">
        <v>0</v>
      </c>
      <c r="W76" s="9">
        <v>0</v>
      </c>
      <c r="X76" s="9">
        <f>V76-W76</f>
        <v>0</v>
      </c>
    </row>
    <row r="77">
      <c r="A77" s="0" t="inlineStr">
        <is>
          <t xml:space="preserve">VG-005</t>
        </is>
      </c>
      <c r="B77" s="23">
        <v>11</v>
      </c>
      <c r="C77" s="9">
        <v>4170875348.198839</v>
      </c>
      <c r="D77" s="9">
        <v>548547488.9976408</v>
      </c>
      <c r="E77" s="9">
        <v>1620112878.7878788</v>
      </c>
      <c r="F77" s="9">
        <v>2002214980.4133198</v>
      </c>
      <c r="G77" s="9">
        <v>0</v>
      </c>
      <c r="H77" s="9">
        <v>0</v>
      </c>
      <c r="I77" s="9">
        <v>400442996.082664</v>
      </c>
      <c r="J77" s="9">
        <v>342811672.4546991</v>
      </c>
      <c r="K77" s="9">
        <v>1688559.4095734358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0" t="inlineStr">
        <is>
          <t xml:space="preserve">ZERO_RESIDUAL_NO_SALE</t>
        </is>
      </c>
      <c r="U77" s="9">
        <f>C77-D77-I77-K77-Q77+S77</f>
        <v>3220196303.708961</v>
      </c>
      <c r="V77" s="9">
        <v>0</v>
      </c>
      <c r="W77" s="9">
        <v>0</v>
      </c>
      <c r="X77" s="9">
        <f>V77-W77</f>
        <v>0</v>
      </c>
    </row>
    <row r="78">
      <c r="A78" s="0" t="inlineStr">
        <is>
          <t xml:space="preserve">VG-005</t>
        </is>
      </c>
      <c r="B78" s="23">
        <v>12</v>
      </c>
      <c r="C78" s="9">
        <v>4191521181.1724234</v>
      </c>
      <c r="D78" s="9">
        <v>559518438.7775936</v>
      </c>
      <c r="E78" s="9">
        <v>1620112878.7878788</v>
      </c>
      <c r="F78" s="9">
        <v>2011889863.606951</v>
      </c>
      <c r="G78" s="9">
        <v>0</v>
      </c>
      <c r="H78" s="9">
        <v>0</v>
      </c>
      <c r="I78" s="9">
        <v>402377972.72139025</v>
      </c>
      <c r="J78" s="9">
        <v>344508590.23334986</v>
      </c>
      <c r="K78" s="9">
        <v>1696917.7786507607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0" t="inlineStr">
        <is>
          <t xml:space="preserve">ZERO_RESIDUAL_NO_SALE</t>
        </is>
      </c>
      <c r="U78" s="9">
        <f>C78-D78-I78-K78-Q78+S78</f>
        <v>3227927851.8947887</v>
      </c>
      <c r="V78" s="9">
        <v>0</v>
      </c>
      <c r="W78" s="9">
        <v>0</v>
      </c>
      <c r="X78" s="9">
        <f>V78-W78</f>
        <v>0</v>
      </c>
    </row>
    <row r="79">
      <c r="A79" s="0" t="inlineStr">
        <is>
          <t xml:space="preserve">VG-005</t>
        </is>
      </c>
      <c r="B79" s="23">
        <v>13</v>
      </c>
      <c r="C79" s="9">
        <v>4212269211.0192266</v>
      </c>
      <c r="D79" s="9">
        <v>570708807.5531455</v>
      </c>
      <c r="E79" s="9">
        <v>1620112878.7878788</v>
      </c>
      <c r="F79" s="9">
        <v>2021447524.6782024</v>
      </c>
      <c r="G79" s="9">
        <v>0</v>
      </c>
      <c r="H79" s="9">
        <v>0</v>
      </c>
      <c r="I79" s="9">
        <v>404289504.9356405</v>
      </c>
      <c r="J79" s="9">
        <v>346213907.75500494</v>
      </c>
      <c r="K79" s="9">
        <v>1705317.5216550827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0" t="inlineStr">
        <is>
          <t xml:space="preserve">ZERO_RESIDUAL_NO_SALE</t>
        </is>
      </c>
      <c r="U79" s="9">
        <f>C79-D79-I79-K79-Q79+S79</f>
        <v>3235565581.0087857</v>
      </c>
      <c r="V79" s="9">
        <v>0</v>
      </c>
      <c r="W79" s="9">
        <v>0</v>
      </c>
      <c r="X79" s="9">
        <f>V79-W79</f>
        <v>0</v>
      </c>
    </row>
    <row r="80">
      <c r="A80" s="0" t="inlineStr">
        <is>
          <t xml:space="preserve">VG-005</t>
        </is>
      </c>
      <c r="B80" s="23">
        <v>14</v>
      </c>
      <c r="C80" s="9">
        <v>4233119943.6137724</v>
      </c>
      <c r="D80" s="9">
        <v>582122983.7042085</v>
      </c>
      <c r="E80" s="9">
        <v>1620112878.7878788</v>
      </c>
      <c r="F80" s="9">
        <v>2030884081.1216853</v>
      </c>
      <c r="G80" s="9">
        <v>0</v>
      </c>
      <c r="H80" s="9">
        <v>0</v>
      </c>
      <c r="I80" s="9">
        <v>406176816.2243371</v>
      </c>
      <c r="J80" s="9">
        <v>347927666.59839225</v>
      </c>
      <c r="K80" s="9">
        <v>1713758.8433873057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0" t="inlineStr">
        <is>
          <t xml:space="preserve">ZERO_RESIDUAL_NO_SALE</t>
        </is>
      </c>
      <c r="U80" s="9">
        <f>C80-D80-I80-K80-Q80+S80</f>
        <v>3243106384.84184</v>
      </c>
      <c r="V80" s="9">
        <v>0</v>
      </c>
      <c r="W80" s="9">
        <v>0</v>
      </c>
      <c r="X80" s="9">
        <f>V80-W80</f>
        <v>0</v>
      </c>
    </row>
    <row r="81">
      <c r="A81" s="0" t="inlineStr">
        <is>
          <t xml:space="preserve">VG-005</t>
        </is>
      </c>
      <c r="B81" s="23">
        <v>15</v>
      </c>
      <c r="C81" s="9">
        <v>4254073887.3346605</v>
      </c>
      <c r="D81" s="9">
        <v>593765443.3782926</v>
      </c>
      <c r="E81" s="9">
        <v>1620112878.7878788</v>
      </c>
      <c r="F81" s="9">
        <v>2040195565.1684892</v>
      </c>
      <c r="G81" s="9">
        <v>0</v>
      </c>
      <c r="H81" s="9">
        <v>0</v>
      </c>
      <c r="I81" s="9">
        <v>408039113.03369784</v>
      </c>
      <c r="J81" s="9">
        <v>0</v>
      </c>
      <c r="K81" s="9">
        <v>-347927666.59839225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347927666.59839225</v>
      </c>
      <c r="T81" s="0" t="inlineStr">
        <is>
          <t xml:space="preserve">ZERO_RESIDUAL_NO_SALE</t>
        </is>
      </c>
      <c r="U81" s="9">
        <f>C81-D81-I81-K81-Q81+S81</f>
        <v>3600196997.521063</v>
      </c>
      <c r="V81" s="9">
        <v>0</v>
      </c>
      <c r="W81" s="9">
        <v>0</v>
      </c>
      <c r="X81" s="9">
        <f>V81-W81</f>
        <v>0</v>
      </c>
    </row>
    <row r="82">
      <c r="A82" s="0" t="inlineStr">
        <is>
          <t xml:space="preserve">VG-006</t>
        </is>
      </c>
      <c r="B82" s="23">
        <v>0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26619875000</v>
      </c>
      <c r="M82" s="9">
        <v>24301693181.81818</v>
      </c>
      <c r="N82" s="9">
        <v>2318181818.181821</v>
      </c>
      <c r="O82" s="9">
        <v>25500000000</v>
      </c>
      <c r="P82" s="9">
        <v>1119875000</v>
      </c>
      <c r="Q82" s="9">
        <v>0</v>
      </c>
      <c r="R82" s="9">
        <v>0</v>
      </c>
      <c r="S82" s="9">
        <v>0</v>
      </c>
      <c r="T82" s="0" t="inlineStr">
        <is>
          <t xml:space="preserve">ZERO_RESIDUAL_NO_SALE</t>
        </is>
      </c>
      <c r="U82" s="9">
        <f>C82-D82-I82-K82-Q82+S82</f>
        <v>0</v>
      </c>
      <c r="V82" s="9">
        <v>26619875000</v>
      </c>
      <c r="W82" s="9">
        <v>26619875000</v>
      </c>
      <c r="X82" s="9">
        <f>V82-W82</f>
        <v>0</v>
      </c>
    </row>
    <row r="83">
      <c r="A83" s="0" t="inlineStr">
        <is>
          <t xml:space="preserve">VG-006</t>
        </is>
      </c>
      <c r="B83" s="23">
        <v>1</v>
      </c>
      <c r="C83" s="9">
        <v>3716528640.0000005</v>
      </c>
      <c r="D83" s="9">
        <v>450000000</v>
      </c>
      <c r="E83" s="9">
        <v>1620112878.7878788</v>
      </c>
      <c r="F83" s="9">
        <v>1646415761.2121217</v>
      </c>
      <c r="G83" s="9">
        <v>0</v>
      </c>
      <c r="H83" s="9">
        <v>0</v>
      </c>
      <c r="I83" s="9">
        <v>329283152.24242437</v>
      </c>
      <c r="J83" s="9">
        <v>305468107.3972603</v>
      </c>
      <c r="K83" s="9">
        <v>305468107.3972603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0" t="inlineStr">
        <is>
          <t xml:space="preserve">ZERO_RESIDUAL_NO_SALE</t>
        </is>
      </c>
      <c r="U83" s="9">
        <f>C83-D83-I83-K83-Q83+S83</f>
        <v>2631777380.360316</v>
      </c>
      <c r="V83" s="9">
        <v>0</v>
      </c>
      <c r="W83" s="9">
        <v>0</v>
      </c>
      <c r="X83" s="9">
        <f>V83-W83</f>
        <v>0</v>
      </c>
    </row>
    <row r="84">
      <c r="A84" s="0" t="inlineStr">
        <is>
          <t xml:space="preserve">VG-006</t>
        </is>
      </c>
      <c r="B84" s="23">
        <v>2</v>
      </c>
      <c r="C84" s="9">
        <v>3734925456.768</v>
      </c>
      <c r="D84" s="9">
        <v>459000000</v>
      </c>
      <c r="E84" s="9">
        <v>1620112878.7878788</v>
      </c>
      <c r="F84" s="9">
        <v>1655812577.9801214</v>
      </c>
      <c r="G84" s="9">
        <v>0</v>
      </c>
      <c r="H84" s="9">
        <v>0</v>
      </c>
      <c r="I84" s="9">
        <v>331162515.5960243</v>
      </c>
      <c r="J84" s="9">
        <v>306980174.5288767</v>
      </c>
      <c r="K84" s="9">
        <v>1512067.1316164136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0" t="inlineStr">
        <is>
          <t xml:space="preserve">ZERO_RESIDUAL_NO_SALE</t>
        </is>
      </c>
      <c r="U84" s="9">
        <f>C84-D84-I84-K84-Q84+S84</f>
        <v>2943250874.0403595</v>
      </c>
      <c r="V84" s="9">
        <v>0</v>
      </c>
      <c r="W84" s="9">
        <v>0</v>
      </c>
      <c r="X84" s="9">
        <f>V84-W84</f>
        <v>0</v>
      </c>
    </row>
    <row r="85">
      <c r="A85" s="0" t="inlineStr">
        <is>
          <t xml:space="preserve">VG-006</t>
        </is>
      </c>
      <c r="B85" s="23">
        <v>3</v>
      </c>
      <c r="C85" s="9">
        <v>3753413337.779002</v>
      </c>
      <c r="D85" s="9">
        <v>468180000</v>
      </c>
      <c r="E85" s="9">
        <v>1620112878.7878788</v>
      </c>
      <c r="F85" s="9">
        <v>1665120458.9911234</v>
      </c>
      <c r="G85" s="9">
        <v>0</v>
      </c>
      <c r="H85" s="9">
        <v>0</v>
      </c>
      <c r="I85" s="9">
        <v>333024091.7982247</v>
      </c>
      <c r="J85" s="9">
        <v>308499726.3927947</v>
      </c>
      <c r="K85" s="9">
        <v>1519551.8639180064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0" t="inlineStr">
        <is>
          <t xml:space="preserve">ZERO_RESIDUAL_NO_SALE</t>
        </is>
      </c>
      <c r="U85" s="9">
        <f>C85-D85-I85-K85-Q85+S85</f>
        <v>2950689694.11686</v>
      </c>
      <c r="V85" s="9">
        <v>0</v>
      </c>
      <c r="W85" s="9">
        <v>0</v>
      </c>
      <c r="X85" s="9">
        <f>V85-W85</f>
        <v>0</v>
      </c>
    </row>
    <row r="86">
      <c r="A86" s="0" t="inlineStr">
        <is>
          <t xml:space="preserve">VG-006</t>
        </is>
      </c>
      <c r="B86" s="23">
        <v>4</v>
      </c>
      <c r="C86" s="9">
        <v>3771992733.8010087</v>
      </c>
      <c r="D86" s="9">
        <v>477543600.00000006</v>
      </c>
      <c r="E86" s="9">
        <v>1620112878.7878788</v>
      </c>
      <c r="F86" s="9">
        <v>1674336255.01313</v>
      </c>
      <c r="G86" s="9">
        <v>0</v>
      </c>
      <c r="H86" s="9">
        <v>0</v>
      </c>
      <c r="I86" s="9">
        <v>334867251.002626</v>
      </c>
      <c r="J86" s="9">
        <v>310026800.03843904</v>
      </c>
      <c r="K86" s="9">
        <v>1527073.6456443071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0" t="inlineStr">
        <is>
          <t xml:space="preserve">ZERO_RESIDUAL_NO_SALE</t>
        </is>
      </c>
      <c r="U86" s="9">
        <f>C86-D86-I86-K86-Q86+S86</f>
        <v>2958054809.1527386</v>
      </c>
      <c r="V86" s="9">
        <v>0</v>
      </c>
      <c r="W86" s="9">
        <v>0</v>
      </c>
      <c r="X86" s="9">
        <f>V86-W86</f>
        <v>0</v>
      </c>
    </row>
    <row r="87">
      <c r="A87" s="0" t="inlineStr">
        <is>
          <t xml:space="preserve">VG-006</t>
        </is>
      </c>
      <c r="B87" s="23">
        <v>5</v>
      </c>
      <c r="C87" s="9">
        <v>3790664097.833323</v>
      </c>
      <c r="D87" s="9">
        <v>487094472</v>
      </c>
      <c r="E87" s="9">
        <v>1620112878.7878788</v>
      </c>
      <c r="F87" s="9">
        <v>1683456747.0454443</v>
      </c>
      <c r="G87" s="9">
        <v>0</v>
      </c>
      <c r="H87" s="9">
        <v>0</v>
      </c>
      <c r="I87" s="9">
        <v>336691349.40908885</v>
      </c>
      <c r="J87" s="9">
        <v>311561432.6986293</v>
      </c>
      <c r="K87" s="9">
        <v>1534632.6601902843</v>
      </c>
      <c r="L87" s="9">
        <v>0</v>
      </c>
      <c r="M87" s="9">
        <v>0</v>
      </c>
      <c r="N87" s="9">
        <v>0</v>
      </c>
      <c r="O87" s="9">
        <v>0</v>
      </c>
      <c r="P87" s="9">
        <v>0</v>
      </c>
      <c r="Q87" s="9">
        <v>121508465.9090909</v>
      </c>
      <c r="R87" s="9">
        <v>0</v>
      </c>
      <c r="S87" s="9">
        <v>0</v>
      </c>
      <c r="T87" s="0" t="inlineStr">
        <is>
          <t xml:space="preserve">ZERO_RESIDUAL_NO_SALE</t>
        </is>
      </c>
      <c r="U87" s="9">
        <f>C87-D87-I87-K87-Q87+S87</f>
        <v>2843835177.8549533</v>
      </c>
      <c r="V87" s="9">
        <v>0</v>
      </c>
      <c r="W87" s="9">
        <v>0</v>
      </c>
      <c r="X87" s="9">
        <f>V87-W87</f>
        <v>0</v>
      </c>
    </row>
    <row r="88">
      <c r="A88" s="0" t="inlineStr">
        <is>
          <t xml:space="preserve">VG-006</t>
        </is>
      </c>
      <c r="B88" s="23">
        <v>6</v>
      </c>
      <c r="C88" s="9">
        <v>3809427885.117598</v>
      </c>
      <c r="D88" s="9">
        <v>496836361.44</v>
      </c>
      <c r="E88" s="9">
        <v>1620112878.7878788</v>
      </c>
      <c r="F88" s="9">
        <v>1692478644.8897192</v>
      </c>
      <c r="G88" s="9">
        <v>0</v>
      </c>
      <c r="H88" s="9">
        <v>0</v>
      </c>
      <c r="I88" s="9">
        <v>338495728.9779439</v>
      </c>
      <c r="J88" s="9">
        <v>313103661.7904875</v>
      </c>
      <c r="K88" s="9">
        <v>1542229.0918582082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0" t="inlineStr">
        <is>
          <t xml:space="preserve">ZERO_RESIDUAL_NO_SALE</t>
        </is>
      </c>
      <c r="U88" s="9">
        <f>C88-D88-I88-K88-Q88+S88</f>
        <v>2972553565.6077957</v>
      </c>
      <c r="V88" s="9">
        <v>0</v>
      </c>
      <c r="W88" s="9">
        <v>0</v>
      </c>
      <c r="X88" s="9">
        <f>V88-W88</f>
        <v>0</v>
      </c>
    </row>
    <row r="89">
      <c r="A89" s="0" t="inlineStr">
        <is>
          <t xml:space="preserve">VG-006</t>
        </is>
      </c>
      <c r="B89" s="23">
        <v>7</v>
      </c>
      <c r="C89" s="9">
        <v>3828284553.1489305</v>
      </c>
      <c r="D89" s="9">
        <v>506773088.66880006</v>
      </c>
      <c r="E89" s="9">
        <v>1620112878.7878788</v>
      </c>
      <c r="F89" s="9">
        <v>1701398585.692252</v>
      </c>
      <c r="G89" s="9">
        <v>0</v>
      </c>
      <c r="H89" s="9">
        <v>0</v>
      </c>
      <c r="I89" s="9">
        <v>340279717.1384504</v>
      </c>
      <c r="J89" s="9">
        <v>314653524.9163504</v>
      </c>
      <c r="K89" s="9">
        <v>1549863.1258628964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0</v>
      </c>
      <c r="R89" s="9">
        <v>0</v>
      </c>
      <c r="S89" s="9">
        <v>0</v>
      </c>
      <c r="T89" s="0" t="inlineStr">
        <is>
          <t xml:space="preserve">ZERO_RESIDUAL_NO_SALE</t>
        </is>
      </c>
      <c r="U89" s="9">
        <f>C89-D89-I89-K89-Q89+S89</f>
        <v>2979681884.2158175</v>
      </c>
      <c r="V89" s="9">
        <v>0</v>
      </c>
      <c r="W89" s="9">
        <v>0</v>
      </c>
      <c r="X89" s="9">
        <f>V89-W89</f>
        <v>0</v>
      </c>
    </row>
    <row r="90">
      <c r="A90" s="0" t="inlineStr">
        <is>
          <t xml:space="preserve">VG-006</t>
        </is>
      </c>
      <c r="B90" s="23">
        <v>8</v>
      </c>
      <c r="C90" s="9">
        <v>3847234561.6870174</v>
      </c>
      <c r="D90" s="9">
        <v>516908550.44217604</v>
      </c>
      <c r="E90" s="9">
        <v>1620112878.7878788</v>
      </c>
      <c r="F90" s="9">
        <v>1710213132.4569628</v>
      </c>
      <c r="G90" s="9">
        <v>0</v>
      </c>
      <c r="H90" s="9">
        <v>0</v>
      </c>
      <c r="I90" s="9">
        <v>342042626.4913926</v>
      </c>
      <c r="J90" s="9">
        <v>316211059.86468637</v>
      </c>
      <c r="K90" s="9">
        <v>1557534.9483359456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0</v>
      </c>
      <c r="R90" s="9">
        <v>0</v>
      </c>
      <c r="S90" s="9">
        <v>0</v>
      </c>
      <c r="T90" s="0" t="inlineStr">
        <is>
          <t xml:space="preserve">ZERO_RESIDUAL_NO_SALE</t>
        </is>
      </c>
      <c r="U90" s="9">
        <f>C90-D90-I90-K90-Q90+S90</f>
        <v>2986725849.805113</v>
      </c>
      <c r="V90" s="9">
        <v>0</v>
      </c>
      <c r="W90" s="9">
        <v>0</v>
      </c>
      <c r="X90" s="9">
        <f>V90-W90</f>
        <v>0</v>
      </c>
    </row>
    <row r="91">
      <c r="A91" s="0" t="inlineStr">
        <is>
          <t xml:space="preserve">VG-006</t>
        </is>
      </c>
      <c r="B91" s="23">
        <v>9</v>
      </c>
      <c r="C91" s="9">
        <v>3866278372.767368</v>
      </c>
      <c r="D91" s="9">
        <v>527246721.4510196</v>
      </c>
      <c r="E91" s="9">
        <v>1620112878.7878788</v>
      </c>
      <c r="F91" s="9">
        <v>1718918772.5284693</v>
      </c>
      <c r="G91" s="9">
        <v>0</v>
      </c>
      <c r="H91" s="9">
        <v>0</v>
      </c>
      <c r="I91" s="9">
        <v>343783754.5056939</v>
      </c>
      <c r="J91" s="9">
        <v>317776304.6110166</v>
      </c>
      <c r="K91" s="9">
        <v>1565244.7463302016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0" t="inlineStr">
        <is>
          <t xml:space="preserve">ZERO_RESIDUAL_NO_SALE</t>
        </is>
      </c>
      <c r="U91" s="9">
        <f>C91-D91-I91-K91-Q91+S91</f>
        <v>2993682652.064324</v>
      </c>
      <c r="V91" s="9">
        <v>0</v>
      </c>
      <c r="W91" s="9">
        <v>0</v>
      </c>
      <c r="X91" s="9">
        <f>V91-W91</f>
        <v>0</v>
      </c>
    </row>
    <row r="92">
      <c r="A92" s="0" t="inlineStr">
        <is>
          <t xml:space="preserve">VG-006</t>
        </is>
      </c>
      <c r="B92" s="23">
        <v>10</v>
      </c>
      <c r="C92" s="9">
        <v>3885416450.712566</v>
      </c>
      <c r="D92" s="9">
        <v>537791655.8800399</v>
      </c>
      <c r="E92" s="9">
        <v>1620112878.7878788</v>
      </c>
      <c r="F92" s="9">
        <v>1727511916.0446475</v>
      </c>
      <c r="G92" s="9">
        <v>0</v>
      </c>
      <c r="H92" s="9">
        <v>0</v>
      </c>
      <c r="I92" s="9">
        <v>345502383.20892954</v>
      </c>
      <c r="J92" s="9">
        <v>319349297.31884104</v>
      </c>
      <c r="K92" s="9">
        <v>1572992.7078244686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121508465.9090909</v>
      </c>
      <c r="R92" s="9">
        <v>0</v>
      </c>
      <c r="S92" s="9">
        <v>0</v>
      </c>
      <c r="T92" s="0" t="inlineStr">
        <is>
          <t xml:space="preserve">ZERO_RESIDUAL_NO_SALE</t>
        </is>
      </c>
      <c r="U92" s="9">
        <f>C92-D92-I92-K92-Q92+S92</f>
        <v>2879040953.0066814</v>
      </c>
      <c r="V92" s="9">
        <v>0</v>
      </c>
      <c r="W92" s="9">
        <v>0</v>
      </c>
      <c r="X92" s="9">
        <f>V92-W92</f>
        <v>0</v>
      </c>
    </row>
    <row r="93">
      <c r="A93" s="0" t="inlineStr">
        <is>
          <t xml:space="preserve">VG-006</t>
        </is>
      </c>
      <c r="B93" s="23">
        <v>11</v>
      </c>
      <c r="C93" s="9">
        <v>3904649262.1435933</v>
      </c>
      <c r="D93" s="9">
        <v>548547488.9976408</v>
      </c>
      <c r="E93" s="9">
        <v>1620112878.7878788</v>
      </c>
      <c r="F93" s="9">
        <v>1735988894.3580735</v>
      </c>
      <c r="G93" s="9">
        <v>0</v>
      </c>
      <c r="H93" s="9">
        <v>0</v>
      </c>
      <c r="I93" s="9">
        <v>347197778.8716147</v>
      </c>
      <c r="J93" s="9">
        <v>320930076.3405693</v>
      </c>
      <c r="K93" s="9">
        <v>1580779.0217282772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0" t="inlineStr">
        <is>
          <t xml:space="preserve">ZERO_RESIDUAL_NO_SALE</t>
        </is>
      </c>
      <c r="U93" s="9">
        <f>C93-D93-I93-K93-Q93+S93</f>
        <v>3007323215.2526093</v>
      </c>
      <c r="V93" s="9">
        <v>0</v>
      </c>
      <c r="W93" s="9">
        <v>0</v>
      </c>
      <c r="X93" s="9">
        <f>V93-W93</f>
        <v>0</v>
      </c>
    </row>
    <row r="94">
      <c r="A94" s="0" t="inlineStr">
        <is>
          <t xml:space="preserve">VG-006</t>
        </is>
      </c>
      <c r="B94" s="23">
        <v>12</v>
      </c>
      <c r="C94" s="9">
        <v>3923977275.991204</v>
      </c>
      <c r="D94" s="9">
        <v>559518438.7775936</v>
      </c>
      <c r="E94" s="9">
        <v>1620112878.7878788</v>
      </c>
      <c r="F94" s="9">
        <v>1744345958.4257314</v>
      </c>
      <c r="G94" s="9">
        <v>0</v>
      </c>
      <c r="H94" s="9">
        <v>0</v>
      </c>
      <c r="I94" s="9">
        <v>348869191.68514633</v>
      </c>
      <c r="J94" s="9">
        <v>322518680.21845514</v>
      </c>
      <c r="K94" s="9">
        <v>1588603.8778858185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0</v>
      </c>
      <c r="S94" s="9">
        <v>0</v>
      </c>
      <c r="T94" s="0" t="inlineStr">
        <is>
          <t xml:space="preserve">ZERO_RESIDUAL_NO_SALE</t>
        </is>
      </c>
      <c r="U94" s="9">
        <f>C94-D94-I94-K94-Q94+S94</f>
        <v>3014001041.650578</v>
      </c>
      <c r="V94" s="9">
        <v>0</v>
      </c>
      <c r="W94" s="9">
        <v>0</v>
      </c>
      <c r="X94" s="9">
        <f>V94-W94</f>
        <v>0</v>
      </c>
    </row>
    <row r="95">
      <c r="A95" s="0" t="inlineStr">
        <is>
          <t xml:space="preserve">VG-006</t>
        </is>
      </c>
      <c r="B95" s="23">
        <v>13</v>
      </c>
      <c r="C95" s="9">
        <v>3943400963.50736</v>
      </c>
      <c r="D95" s="9">
        <v>570708807.5531455</v>
      </c>
      <c r="E95" s="9">
        <v>1620112878.7878788</v>
      </c>
      <c r="F95" s="9">
        <v>1752579277.1663358</v>
      </c>
      <c r="G95" s="9">
        <v>0</v>
      </c>
      <c r="H95" s="9">
        <v>0</v>
      </c>
      <c r="I95" s="9">
        <v>350515855.4332672</v>
      </c>
      <c r="J95" s="9">
        <v>324115147.68553644</v>
      </c>
      <c r="K95" s="9">
        <v>1596467.4670813084</v>
      </c>
      <c r="L95" s="9">
        <v>0</v>
      </c>
      <c r="M95" s="9">
        <v>0</v>
      </c>
      <c r="N95" s="9">
        <v>0</v>
      </c>
      <c r="O95" s="9">
        <v>0</v>
      </c>
      <c r="P95" s="9">
        <v>0</v>
      </c>
      <c r="Q95" s="9">
        <v>0</v>
      </c>
      <c r="R95" s="9">
        <v>0</v>
      </c>
      <c r="S95" s="9">
        <v>0</v>
      </c>
      <c r="T95" s="0" t="inlineStr">
        <is>
          <t xml:space="preserve">ZERO_RESIDUAL_NO_SALE</t>
        </is>
      </c>
      <c r="U95" s="9">
        <f>C95-D95-I95-K95-Q95+S95</f>
        <v>3020579833.0538664</v>
      </c>
      <c r="V95" s="9">
        <v>0</v>
      </c>
      <c r="W95" s="9">
        <v>0</v>
      </c>
      <c r="X95" s="9">
        <f>V95-W95</f>
        <v>0</v>
      </c>
    </row>
    <row r="96">
      <c r="A96" s="0" t="inlineStr">
        <is>
          <t xml:space="preserve">VG-006</t>
        </is>
      </c>
      <c r="B96" s="23">
        <v>14</v>
      </c>
      <c r="C96" s="9">
        <v>3962920798.2767224</v>
      </c>
      <c r="D96" s="9">
        <v>582122983.7042085</v>
      </c>
      <c r="E96" s="9">
        <v>1620112878.7878788</v>
      </c>
      <c r="F96" s="9">
        <v>1760684935.7846353</v>
      </c>
      <c r="G96" s="9">
        <v>0</v>
      </c>
      <c r="H96" s="9">
        <v>0</v>
      </c>
      <c r="I96" s="9">
        <v>352136987.1569271</v>
      </c>
      <c r="J96" s="9">
        <v>325719517.6665799</v>
      </c>
      <c r="K96" s="9">
        <v>1604369.981043458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v>0</v>
      </c>
      <c r="R96" s="9">
        <v>0</v>
      </c>
      <c r="S96" s="9">
        <v>0</v>
      </c>
      <c r="T96" s="0" t="inlineStr">
        <is>
          <t xml:space="preserve">ZERO_RESIDUAL_NO_SALE</t>
        </is>
      </c>
      <c r="U96" s="9">
        <f>C96-D96-I96-K96-Q96+S96</f>
        <v>3027056457.4345436</v>
      </c>
      <c r="V96" s="9">
        <v>0</v>
      </c>
      <c r="W96" s="9">
        <v>0</v>
      </c>
      <c r="X96" s="9">
        <f>V96-W96</f>
        <v>0</v>
      </c>
    </row>
    <row r="97">
      <c r="A97" s="0" t="inlineStr">
        <is>
          <t xml:space="preserve">VG-006</t>
        </is>
      </c>
      <c r="B97" s="23">
        <v>15</v>
      </c>
      <c r="C97" s="9">
        <v>3982537256.228193</v>
      </c>
      <c r="D97" s="9">
        <v>593765443.3782926</v>
      </c>
      <c r="E97" s="9">
        <v>1620112878.7878788</v>
      </c>
      <c r="F97" s="9">
        <v>1768658934.0620215</v>
      </c>
      <c r="G97" s="9">
        <v>0</v>
      </c>
      <c r="H97" s="9">
        <v>0</v>
      </c>
      <c r="I97" s="9">
        <v>353731786.81240433</v>
      </c>
      <c r="J97" s="9">
        <v>0</v>
      </c>
      <c r="K97" s="9">
        <v>-325719517.6665799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325719517.6665799</v>
      </c>
      <c r="T97" s="0" t="inlineStr">
        <is>
          <t xml:space="preserve">ZERO_RESIDUAL_NO_SALE</t>
        </is>
      </c>
      <c r="U97" s="9">
        <f>C97-D97-I97-K97-Q97+S97</f>
        <v>3360759543.704076</v>
      </c>
      <c r="V97" s="9">
        <v>0</v>
      </c>
      <c r="W97" s="9">
        <v>0</v>
      </c>
      <c r="X97" s="9">
        <f>V97-W97</f>
        <v>0</v>
      </c>
    </row>
    <row r="98">
      <c r="A98" s="0" t="inlineStr">
        <is>
          <t xml:space="preserve">VG-007</t>
        </is>
      </c>
      <c r="B98" s="23">
        <v>0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28838197916.666668</v>
      </c>
      <c r="M98" s="9">
        <v>26326834280.30303</v>
      </c>
      <c r="N98" s="9">
        <v>2511363636.3636394</v>
      </c>
      <c r="O98" s="9">
        <v>27625000000</v>
      </c>
      <c r="P98" s="9">
        <v>1213197916.6666665</v>
      </c>
      <c r="Q98" s="9">
        <v>0</v>
      </c>
      <c r="R98" s="9">
        <v>0</v>
      </c>
      <c r="S98" s="9">
        <v>0</v>
      </c>
      <c r="T98" s="0" t="inlineStr">
        <is>
          <t xml:space="preserve">ZERO_RESIDUAL_NO_SALE</t>
        </is>
      </c>
      <c r="U98" s="9">
        <f>C98-D98-I98-K98-Q98+S98</f>
        <v>0</v>
      </c>
      <c r="V98" s="9">
        <v>28838197916.666668</v>
      </c>
      <c r="W98" s="9">
        <v>28838197916.666668</v>
      </c>
      <c r="X98" s="9">
        <f>V98-W98</f>
        <v>0</v>
      </c>
    </row>
    <row r="99">
      <c r="A99" s="0" t="inlineStr">
        <is>
          <t xml:space="preserve">VG-007</t>
        </is>
      </c>
      <c r="B99" s="23">
        <v>1</v>
      </c>
      <c r="C99" s="9">
        <v>4117744800</v>
      </c>
      <c r="D99" s="9">
        <v>487500000</v>
      </c>
      <c r="E99" s="9">
        <v>1755122285.3535352</v>
      </c>
      <c r="F99" s="9">
        <v>1875122514.6464648</v>
      </c>
      <c r="G99" s="9">
        <v>0</v>
      </c>
      <c r="H99" s="9">
        <v>0</v>
      </c>
      <c r="I99" s="9">
        <v>375024502.929293</v>
      </c>
      <c r="J99" s="9">
        <v>338444778.08219177</v>
      </c>
      <c r="K99" s="9">
        <v>338444778.08219177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0" t="inlineStr">
        <is>
          <t xml:space="preserve">ZERO_RESIDUAL_NO_SALE</t>
        </is>
      </c>
      <c r="U99" s="9">
        <f>C99-D99-I99-K99-Q99+S99</f>
        <v>2916775518.988515</v>
      </c>
      <c r="V99" s="9">
        <v>0</v>
      </c>
      <c r="W99" s="9">
        <v>0</v>
      </c>
      <c r="X99" s="9">
        <f>V99-W99</f>
        <v>0</v>
      </c>
    </row>
    <row r="100">
      <c r="A100" s="0" t="inlineStr">
        <is>
          <t xml:space="preserve">VG-007</t>
        </is>
      </c>
      <c r="B100" s="23">
        <v>2</v>
      </c>
      <c r="C100" s="9">
        <v>4138127636.76</v>
      </c>
      <c r="D100" s="9">
        <v>497250000</v>
      </c>
      <c r="E100" s="9">
        <v>1755122285.3535352</v>
      </c>
      <c r="F100" s="9">
        <v>1885755351.406465</v>
      </c>
      <c r="G100" s="9">
        <v>0</v>
      </c>
      <c r="H100" s="9">
        <v>0</v>
      </c>
      <c r="I100" s="9">
        <v>377151070.28129303</v>
      </c>
      <c r="J100" s="9">
        <v>340120079.73369867</v>
      </c>
      <c r="K100" s="9">
        <v>1675301.6515069008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0</v>
      </c>
      <c r="R100" s="9">
        <v>0</v>
      </c>
      <c r="S100" s="9">
        <v>0</v>
      </c>
      <c r="T100" s="0" t="inlineStr">
        <is>
          <t xml:space="preserve">ZERO_RESIDUAL_NO_SALE</t>
        </is>
      </c>
      <c r="U100" s="9">
        <f>C100-D100-I100-K100-Q100+S100</f>
        <v>3262051264.8272004</v>
      </c>
      <c r="V100" s="9">
        <v>0</v>
      </c>
      <c r="W100" s="9">
        <v>0</v>
      </c>
      <c r="X100" s="9">
        <f>V100-W100</f>
        <v>0</v>
      </c>
    </row>
    <row r="101">
      <c r="A101" s="0" t="inlineStr">
        <is>
          <t xml:space="preserve">VG-007</t>
        </is>
      </c>
      <c r="B101" s="23">
        <v>3</v>
      </c>
      <c r="C101" s="9">
        <v>4158611368.5619626</v>
      </c>
      <c r="D101" s="9">
        <v>507195000</v>
      </c>
      <c r="E101" s="9">
        <v>1755122285.3535352</v>
      </c>
      <c r="F101" s="9">
        <v>1896294083.2084274</v>
      </c>
      <c r="G101" s="9">
        <v>0</v>
      </c>
      <c r="H101" s="9">
        <v>0</v>
      </c>
      <c r="I101" s="9">
        <v>379258816.6416855</v>
      </c>
      <c r="J101" s="9">
        <v>341803674.1283805</v>
      </c>
      <c r="K101" s="9">
        <v>1683594.3946818113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>
        <v>0</v>
      </c>
      <c r="T101" s="0" t="inlineStr">
        <is>
          <t xml:space="preserve">ZERO_RESIDUAL_NO_SALE</t>
        </is>
      </c>
      <c r="U101" s="9">
        <f>C101-D101-I101-K101-Q101+S101</f>
        <v>3270473957.525595</v>
      </c>
      <c r="V101" s="9">
        <v>0</v>
      </c>
      <c r="W101" s="9">
        <v>0</v>
      </c>
      <c r="X101" s="9">
        <f>V101-W101</f>
        <v>0</v>
      </c>
    </row>
    <row r="102">
      <c r="A102" s="0" t="inlineStr">
        <is>
          <t xml:space="preserve">VG-007</t>
        </is>
      </c>
      <c r="B102" s="23">
        <v>4</v>
      </c>
      <c r="C102" s="9">
        <v>4179196494.8363442</v>
      </c>
      <c r="D102" s="9">
        <v>517338900.00000006</v>
      </c>
      <c r="E102" s="9">
        <v>1755122285.3535352</v>
      </c>
      <c r="F102" s="9">
        <v>1906735309.482809</v>
      </c>
      <c r="G102" s="9">
        <v>0</v>
      </c>
      <c r="H102" s="9">
        <v>0</v>
      </c>
      <c r="I102" s="9">
        <v>381347061.89656186</v>
      </c>
      <c r="J102" s="9">
        <v>343495602.31531596</v>
      </c>
      <c r="K102" s="9">
        <v>1691928.1869354844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0</v>
      </c>
      <c r="S102" s="9">
        <v>0</v>
      </c>
      <c r="T102" s="0" t="inlineStr">
        <is>
          <t xml:space="preserve">ZERO_RESIDUAL_NO_SALE</t>
        </is>
      </c>
      <c r="U102" s="9">
        <f>C102-D102-I102-K102-Q102+S102</f>
        <v>3278818604.7528467</v>
      </c>
      <c r="V102" s="9">
        <v>0</v>
      </c>
      <c r="W102" s="9">
        <v>0</v>
      </c>
      <c r="X102" s="9">
        <f>V102-W102</f>
        <v>0</v>
      </c>
    </row>
    <row r="103">
      <c r="A103" s="0" t="inlineStr">
        <is>
          <t xml:space="preserve">VG-007</t>
        </is>
      </c>
      <c r="B103" s="23">
        <v>5</v>
      </c>
      <c r="C103" s="9">
        <v>4199883517.485784</v>
      </c>
      <c r="D103" s="9">
        <v>527685678</v>
      </c>
      <c r="E103" s="9">
        <v>1755122285.3535352</v>
      </c>
      <c r="F103" s="9">
        <v>1917075554.1322489</v>
      </c>
      <c r="G103" s="9">
        <v>0</v>
      </c>
      <c r="H103" s="9">
        <v>0</v>
      </c>
      <c r="I103" s="9">
        <v>383415110.8264498</v>
      </c>
      <c r="J103" s="9">
        <v>345195905.5467768</v>
      </c>
      <c r="K103" s="9">
        <v>1700303.2314608097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131634171.40151514</v>
      </c>
      <c r="R103" s="9">
        <v>0</v>
      </c>
      <c r="S103" s="9">
        <v>0</v>
      </c>
      <c r="T103" s="0" t="inlineStr">
        <is>
          <t xml:space="preserve">ZERO_RESIDUAL_NO_SALE</t>
        </is>
      </c>
      <c r="U103" s="9">
        <f>C103-D103-I103-K103-Q103+S103</f>
        <v>3155448254.0263586</v>
      </c>
      <c r="V103" s="9">
        <v>0</v>
      </c>
      <c r="W103" s="9">
        <v>0</v>
      </c>
      <c r="X103" s="9">
        <f>V103-W103</f>
        <v>0</v>
      </c>
    </row>
    <row r="104">
      <c r="A104" s="0" t="inlineStr">
        <is>
          <t xml:space="preserve">VG-007</t>
        </is>
      </c>
      <c r="B104" s="23">
        <v>6</v>
      </c>
      <c r="C104" s="9">
        <v>4220672940.897339</v>
      </c>
      <c r="D104" s="9">
        <v>538239391.5600001</v>
      </c>
      <c r="E104" s="9">
        <v>1755122285.3535352</v>
      </c>
      <c r="F104" s="9">
        <v>1927311263.9838037</v>
      </c>
      <c r="G104" s="9">
        <v>0</v>
      </c>
      <c r="H104" s="9">
        <v>0</v>
      </c>
      <c r="I104" s="9">
        <v>385462252.7967608</v>
      </c>
      <c r="J104" s="9">
        <v>346904625.27923334</v>
      </c>
      <c r="K104" s="9">
        <v>1708719.732456565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0</v>
      </c>
      <c r="R104" s="9">
        <v>0</v>
      </c>
      <c r="S104" s="9">
        <v>0</v>
      </c>
      <c r="T104" s="0" t="inlineStr">
        <is>
          <t xml:space="preserve">ZERO_RESIDUAL_NO_SALE</t>
        </is>
      </c>
      <c r="U104" s="9">
        <f>C104-D104-I104-K104-Q104+S104</f>
        <v>3295262576.808121</v>
      </c>
      <c r="V104" s="9">
        <v>0</v>
      </c>
      <c r="W104" s="9">
        <v>0</v>
      </c>
      <c r="X104" s="9">
        <f>V104-W104</f>
        <v>0</v>
      </c>
    </row>
    <row r="105">
      <c r="A105" s="0" t="inlineStr">
        <is>
          <t xml:space="preserve">VG-007</t>
        </is>
      </c>
      <c r="B105" s="23">
        <v>7</v>
      </c>
      <c r="C105" s="9">
        <v>4241565271.9547806</v>
      </c>
      <c r="D105" s="9">
        <v>549004179.3912001</v>
      </c>
      <c r="E105" s="9">
        <v>1755122285.3535352</v>
      </c>
      <c r="F105" s="9">
        <v>1937438807.2100453</v>
      </c>
      <c r="G105" s="9">
        <v>0</v>
      </c>
      <c r="H105" s="9">
        <v>0</v>
      </c>
      <c r="I105" s="9">
        <v>387487761.4420091</v>
      </c>
      <c r="J105" s="9">
        <v>348621803.1743655</v>
      </c>
      <c r="K105" s="9">
        <v>1717177.895132184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0" t="inlineStr">
        <is>
          <t xml:space="preserve">ZERO_RESIDUAL_NO_SALE</t>
        </is>
      </c>
      <c r="U105" s="9">
        <f>C105-D105-I105-K105-Q105+S105</f>
        <v>3303356153.2264395</v>
      </c>
      <c r="V105" s="9">
        <v>0</v>
      </c>
      <c r="W105" s="9">
        <v>0</v>
      </c>
      <c r="X105" s="9">
        <f>V105-W105</f>
        <v>0</v>
      </c>
    </row>
    <row r="106">
      <c r="A106" s="0" t="inlineStr">
        <is>
          <t xml:space="preserve">VG-007</t>
        </is>
      </c>
      <c r="B106" s="23">
        <v>8</v>
      </c>
      <c r="C106" s="9">
        <v>4262561020.0509562</v>
      </c>
      <c r="D106" s="9">
        <v>559984262.979024</v>
      </c>
      <c r="E106" s="9">
        <v>1755122285.3535352</v>
      </c>
      <c r="F106" s="9">
        <v>1947454471.7183971</v>
      </c>
      <c r="G106" s="9">
        <v>0</v>
      </c>
      <c r="H106" s="9">
        <v>0</v>
      </c>
      <c r="I106" s="9">
        <v>389490894.3436794</v>
      </c>
      <c r="J106" s="9">
        <v>350347481.1000786</v>
      </c>
      <c r="K106" s="9">
        <v>1725677.9257130623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0" t="inlineStr">
        <is>
          <t xml:space="preserve">ZERO_RESIDUAL_NO_SALE</t>
        </is>
      </c>
      <c r="U106" s="9">
        <f>C106-D106-I106-K106-Q106+S106</f>
        <v>3311360184.80254</v>
      </c>
      <c r="V106" s="9">
        <v>0</v>
      </c>
      <c r="W106" s="9">
        <v>0</v>
      </c>
      <c r="X106" s="9">
        <f>V106-W106</f>
        <v>0</v>
      </c>
    </row>
    <row r="107">
      <c r="A107" s="0" t="inlineStr">
        <is>
          <t xml:space="preserve">VG-007</t>
        </is>
      </c>
      <c r="B107" s="23">
        <v>9</v>
      </c>
      <c r="C107" s="9">
        <v>4283660697.100209</v>
      </c>
      <c r="D107" s="9">
        <v>571183948.2386045</v>
      </c>
      <c r="E107" s="9">
        <v>1755122285.3535352</v>
      </c>
      <c r="F107" s="9">
        <v>1957354463.5080695</v>
      </c>
      <c r="G107" s="9">
        <v>0</v>
      </c>
      <c r="H107" s="9">
        <v>0</v>
      </c>
      <c r="I107" s="9">
        <v>391470892.7016139</v>
      </c>
      <c r="J107" s="9">
        <v>352081701.131524</v>
      </c>
      <c r="K107" s="9">
        <v>1734220.0314454436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0" t="inlineStr">
        <is>
          <t xml:space="preserve">ZERO_RESIDUAL_NO_SALE</t>
        </is>
      </c>
      <c r="U107" s="9">
        <f>C107-D107-I107-K107-Q107+S107</f>
        <v>3319271636.1285453</v>
      </c>
      <c r="V107" s="9">
        <v>0</v>
      </c>
      <c r="W107" s="9">
        <v>0</v>
      </c>
      <c r="X107" s="9">
        <f>V107-W107</f>
        <v>0</v>
      </c>
    </row>
    <row r="108">
      <c r="A108" s="0" t="inlineStr">
        <is>
          <t xml:space="preserve">VG-007</t>
        </is>
      </c>
      <c r="B108" s="23">
        <v>10</v>
      </c>
      <c r="C108" s="9">
        <v>4304864817.550855</v>
      </c>
      <c r="D108" s="9">
        <v>582607627.2033767</v>
      </c>
      <c r="E108" s="9">
        <v>1755122285.3535352</v>
      </c>
      <c r="F108" s="9">
        <v>1967134904.9939427</v>
      </c>
      <c r="G108" s="9">
        <v>0</v>
      </c>
      <c r="H108" s="9">
        <v>0</v>
      </c>
      <c r="I108" s="9">
        <v>393426980.9987886</v>
      </c>
      <c r="J108" s="9">
        <v>353824505.55212504</v>
      </c>
      <c r="K108" s="9">
        <v>1742804.4206010103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131634171.40151514</v>
      </c>
      <c r="R108" s="9">
        <v>0</v>
      </c>
      <c r="S108" s="9">
        <v>0</v>
      </c>
      <c r="T108" s="0" t="inlineStr">
        <is>
          <t xml:space="preserve">ZERO_RESIDUAL_NO_SALE</t>
        </is>
      </c>
      <c r="U108" s="9">
        <f>C108-D108-I108-K108-Q108+S108</f>
        <v>3195453233.526573</v>
      </c>
      <c r="V108" s="9">
        <v>0</v>
      </c>
      <c r="W108" s="9">
        <v>0</v>
      </c>
      <c r="X108" s="9">
        <f>V108-W108</f>
        <v>0</v>
      </c>
    </row>
    <row r="109">
      <c r="A109" s="0" t="inlineStr">
        <is>
          <t xml:space="preserve">VG-007</t>
        </is>
      </c>
      <c r="B109" s="23">
        <v>11</v>
      </c>
      <c r="C109" s="9">
        <v>4326173898.397731</v>
      </c>
      <c r="D109" s="9">
        <v>594259779.7474442</v>
      </c>
      <c r="E109" s="9">
        <v>1755122285.3535352</v>
      </c>
      <c r="F109" s="9">
        <v>1976791833.2967515</v>
      </c>
      <c r="G109" s="9">
        <v>0</v>
      </c>
      <c r="H109" s="9">
        <v>0</v>
      </c>
      <c r="I109" s="9">
        <v>395358366.65935034</v>
      </c>
      <c r="J109" s="9">
        <v>355575936.854608</v>
      </c>
      <c r="K109" s="9">
        <v>1751431.3024829626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0" t="inlineStr">
        <is>
          <t xml:space="preserve">ZERO_RESIDUAL_NO_SALE</t>
        </is>
      </c>
      <c r="U109" s="9">
        <f>C109-D109-I109-K109-Q109+S109</f>
        <v>3334804320.688453</v>
      </c>
      <c r="V109" s="9">
        <v>0</v>
      </c>
      <c r="W109" s="9">
        <v>0</v>
      </c>
      <c r="X109" s="9">
        <f>V109-W109</f>
        <v>0</v>
      </c>
    </row>
    <row r="110">
      <c r="A110" s="0" t="inlineStr">
        <is>
          <t xml:space="preserve">VG-007</t>
        </is>
      </c>
      <c r="B110" s="23">
        <v>12</v>
      </c>
      <c r="C110" s="9">
        <v>4347588459.194799</v>
      </c>
      <c r="D110" s="9">
        <v>606144975.342393</v>
      </c>
      <c r="E110" s="9">
        <v>1755122285.3535352</v>
      </c>
      <c r="F110" s="9">
        <v>1986321198.4988713</v>
      </c>
      <c r="G110" s="9">
        <v>0</v>
      </c>
      <c r="H110" s="9">
        <v>0</v>
      </c>
      <c r="I110" s="9">
        <v>397264239.69977427</v>
      </c>
      <c r="J110" s="9">
        <v>357336037.7420383</v>
      </c>
      <c r="K110" s="9">
        <v>1760100.8874303102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0" t="inlineStr">
        <is>
          <t xml:space="preserve">ZERO_RESIDUAL_NO_SALE</t>
        </is>
      </c>
      <c r="U110" s="9">
        <f>C110-D110-I110-K110-Q110+S110</f>
        <v>3342419143.265202</v>
      </c>
      <c r="V110" s="9">
        <v>0</v>
      </c>
      <c r="W110" s="9">
        <v>0</v>
      </c>
      <c r="X110" s="9">
        <f>V110-W110</f>
        <v>0</v>
      </c>
    </row>
    <row r="111">
      <c r="A111" s="0" t="inlineStr">
        <is>
          <t xml:space="preserve">VG-007</t>
        </is>
      </c>
      <c r="B111" s="23">
        <v>13</v>
      </c>
      <c r="C111" s="9">
        <v>4369109022.067814</v>
      </c>
      <c r="D111" s="9">
        <v>618267874.8492409</v>
      </c>
      <c r="E111" s="9">
        <v>1755122285.3535352</v>
      </c>
      <c r="F111" s="9">
        <v>1995718861.865038</v>
      </c>
      <c r="G111" s="9">
        <v>0</v>
      </c>
      <c r="H111" s="9">
        <v>0</v>
      </c>
      <c r="I111" s="9">
        <v>399143772.3730076</v>
      </c>
      <c r="J111" s="9">
        <v>359104851.1288614</v>
      </c>
      <c r="K111" s="9">
        <v>1768813.3868231177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0" t="inlineStr">
        <is>
          <t xml:space="preserve">ZERO_RESIDUAL_NO_SALE</t>
        </is>
      </c>
      <c r="U111" s="9">
        <f>C111-D111-I111-K111-Q111+S111</f>
        <v>3349928561.458742</v>
      </c>
      <c r="V111" s="9">
        <v>0</v>
      </c>
      <c r="W111" s="9">
        <v>0</v>
      </c>
      <c r="X111" s="9">
        <f>V111-W111</f>
        <v>0</v>
      </c>
    </row>
    <row r="112">
      <c r="A112" s="0" t="inlineStr">
        <is>
          <t xml:space="preserve">VG-007</t>
        </is>
      </c>
      <c r="B112" s="23">
        <v>14</v>
      </c>
      <c r="C112" s="9">
        <v>4390736111.727051</v>
      </c>
      <c r="D112" s="9">
        <v>630633232.3462259</v>
      </c>
      <c r="E112" s="9">
        <v>1755122285.3535352</v>
      </c>
      <c r="F112" s="9">
        <v>2004980594.0272899</v>
      </c>
      <c r="G112" s="9">
        <v>0</v>
      </c>
      <c r="H112" s="9">
        <v>0</v>
      </c>
      <c r="I112" s="9">
        <v>400996118.805458</v>
      </c>
      <c r="J112" s="9">
        <v>360882420.14194936</v>
      </c>
      <c r="K112" s="9">
        <v>1777569.0130879283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0" t="inlineStr">
        <is>
          <t xml:space="preserve">ZERO_RESIDUAL_NO_SALE</t>
        </is>
      </c>
      <c r="U112" s="9">
        <f>C112-D112-I112-K112-Q112+S112</f>
        <v>3357329191.562279</v>
      </c>
      <c r="V112" s="9">
        <v>0</v>
      </c>
      <c r="W112" s="9">
        <v>0</v>
      </c>
      <c r="X112" s="9">
        <f>V112-W112</f>
        <v>0</v>
      </c>
    </row>
    <row r="113">
      <c r="A113" s="0" t="inlineStr">
        <is>
          <t xml:space="preserve">VG-007</t>
        </is>
      </c>
      <c r="B113" s="23">
        <v>15</v>
      </c>
      <c r="C113" s="9">
        <v>4412470255.480101</v>
      </c>
      <c r="D113" s="9">
        <v>643245896.9931502</v>
      </c>
      <c r="E113" s="9">
        <v>1755122285.3535352</v>
      </c>
      <c r="F113" s="9">
        <v>2014102073.1334152</v>
      </c>
      <c r="G113" s="9">
        <v>0</v>
      </c>
      <c r="H113" s="9">
        <v>0</v>
      </c>
      <c r="I113" s="9">
        <v>402820414.62668306</v>
      </c>
      <c r="J113" s="9">
        <v>0</v>
      </c>
      <c r="K113" s="9">
        <v>-360882420.14194936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0</v>
      </c>
      <c r="S113" s="9">
        <v>360882420.14194936</v>
      </c>
      <c r="T113" s="0" t="inlineStr">
        <is>
          <t xml:space="preserve">ZERO_RESIDUAL_NO_SALE</t>
        </is>
      </c>
      <c r="U113" s="9">
        <f>C113-D113-I113-K113-Q113+S113</f>
        <v>3727286364.0022163</v>
      </c>
      <c r="V113" s="9">
        <v>0</v>
      </c>
      <c r="W113" s="9">
        <v>0</v>
      </c>
      <c r="X113" s="9">
        <f>V113-W113</f>
        <v>0</v>
      </c>
    </row>
    <row r="114">
      <c r="A114" s="0" t="inlineStr">
        <is>
          <t xml:space="preserve">VG-008</t>
        </is>
      </c>
      <c r="B114" s="23">
        <v>0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28838197916.666668</v>
      </c>
      <c r="M114" s="9">
        <v>26326834280.30303</v>
      </c>
      <c r="N114" s="9">
        <v>2511363636.3636394</v>
      </c>
      <c r="O114" s="9">
        <v>27625000000</v>
      </c>
      <c r="P114" s="9">
        <v>1213197916.6666665</v>
      </c>
      <c r="Q114" s="9">
        <v>0</v>
      </c>
      <c r="R114" s="9">
        <v>0</v>
      </c>
      <c r="S114" s="9">
        <v>0</v>
      </c>
      <c r="T114" s="0" t="inlineStr">
        <is>
          <t xml:space="preserve">ZERO_RESIDUAL_NO_SALE</t>
        </is>
      </c>
      <c r="U114" s="9">
        <f>C114-D114-I114-K114-Q114+S114</f>
        <v>0</v>
      </c>
      <c r="V114" s="9">
        <v>28838197916.666668</v>
      </c>
      <c r="W114" s="9">
        <v>28838197916.666668</v>
      </c>
      <c r="X114" s="9">
        <f>V114-W114</f>
        <v>0</v>
      </c>
    </row>
    <row r="115">
      <c r="A115" s="0" t="inlineStr">
        <is>
          <t xml:space="preserve">VG-008</t>
        </is>
      </c>
      <c r="B115" s="23">
        <v>1</v>
      </c>
      <c r="C115" s="9">
        <v>4095351000.0000005</v>
      </c>
      <c r="D115" s="9">
        <v>487500000</v>
      </c>
      <c r="E115" s="9">
        <v>1755122285.3535352</v>
      </c>
      <c r="F115" s="9">
        <v>1852728714.6464653</v>
      </c>
      <c r="G115" s="9">
        <v>0</v>
      </c>
      <c r="H115" s="9">
        <v>0</v>
      </c>
      <c r="I115" s="9">
        <v>370545742.9292931</v>
      </c>
      <c r="J115" s="9">
        <v>336604191.780822</v>
      </c>
      <c r="K115" s="9">
        <v>336604191.780822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0" t="inlineStr">
        <is>
          <t xml:space="preserve">ZERO_RESIDUAL_NO_SALE</t>
        </is>
      </c>
      <c r="U115" s="9">
        <f>C115-D115-I115-K115-Q115+S115</f>
        <v>2900701065.2898855</v>
      </c>
      <c r="V115" s="9">
        <v>0</v>
      </c>
      <c r="W115" s="9">
        <v>0</v>
      </c>
      <c r="X115" s="9">
        <f>V115-W115</f>
        <v>0</v>
      </c>
    </row>
    <row r="116">
      <c r="A116" s="0" t="inlineStr">
        <is>
          <t xml:space="preserve">VG-008</t>
        </is>
      </c>
      <c r="B116" s="23">
        <v>2</v>
      </c>
      <c r="C116" s="9">
        <v>4115622987.4500003</v>
      </c>
      <c r="D116" s="9">
        <v>497250000</v>
      </c>
      <c r="E116" s="9">
        <v>1755122285.3535352</v>
      </c>
      <c r="F116" s="9">
        <v>1863250702.096465</v>
      </c>
      <c r="G116" s="9">
        <v>0</v>
      </c>
      <c r="H116" s="9">
        <v>0</v>
      </c>
      <c r="I116" s="9">
        <v>372650140.41929305</v>
      </c>
      <c r="J116" s="9">
        <v>338270382.530137</v>
      </c>
      <c r="K116" s="9">
        <v>1666190.7493150234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0" t="inlineStr">
        <is>
          <t xml:space="preserve">ZERO_RESIDUAL_NO_SALE</t>
        </is>
      </c>
      <c r="U116" s="9">
        <f>C116-D116-I116-K116-Q116+S116</f>
        <v>3244056656.281392</v>
      </c>
      <c r="V116" s="9">
        <v>0</v>
      </c>
      <c r="W116" s="9">
        <v>0</v>
      </c>
      <c r="X116" s="9">
        <f>V116-W116</f>
        <v>0</v>
      </c>
    </row>
    <row r="117">
      <c r="A117" s="0" t="inlineStr">
        <is>
          <t xml:space="preserve">VG-008</t>
        </is>
      </c>
      <c r="B117" s="23">
        <v>3</v>
      </c>
      <c r="C117" s="9">
        <v>4135995321.237879</v>
      </c>
      <c r="D117" s="9">
        <v>507195000</v>
      </c>
      <c r="E117" s="9">
        <v>1755122285.3535352</v>
      </c>
      <c r="F117" s="9">
        <v>1873678035.8843436</v>
      </c>
      <c r="G117" s="9">
        <v>0</v>
      </c>
      <c r="H117" s="9">
        <v>0</v>
      </c>
      <c r="I117" s="9">
        <v>374735607.17686874</v>
      </c>
      <c r="J117" s="9">
        <v>339944820.9236613</v>
      </c>
      <c r="K117" s="9">
        <v>1674438.3935242891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>
        <v>0</v>
      </c>
      <c r="T117" s="0" t="inlineStr">
        <is>
          <t xml:space="preserve">ZERO_RESIDUAL_NO_SALE</t>
        </is>
      </c>
      <c r="U117" s="9">
        <f>C117-D117-I117-K117-Q117+S117</f>
        <v>3252390275.6674857</v>
      </c>
      <c r="V117" s="9">
        <v>0</v>
      </c>
      <c r="W117" s="9">
        <v>0</v>
      </c>
      <c r="X117" s="9">
        <f>V117-W117</f>
        <v>0</v>
      </c>
    </row>
    <row r="118">
      <c r="A118" s="0" t="inlineStr">
        <is>
          <t xml:space="preserve">VG-008</t>
        </is>
      </c>
      <c r="B118" s="23">
        <v>4</v>
      </c>
      <c r="C118" s="9">
        <v>4156468498.0780063</v>
      </c>
      <c r="D118" s="9">
        <v>517338900.00000006</v>
      </c>
      <c r="E118" s="9">
        <v>1755122285.3535352</v>
      </c>
      <c r="F118" s="9">
        <v>1884007312.724471</v>
      </c>
      <c r="G118" s="9">
        <v>0</v>
      </c>
      <c r="H118" s="9">
        <v>0</v>
      </c>
      <c r="I118" s="9">
        <v>376801462.5448942</v>
      </c>
      <c r="J118" s="9">
        <v>341627547.7872334</v>
      </c>
      <c r="K118" s="9">
        <v>1682726.8635721207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0" t="inlineStr">
        <is>
          <t xml:space="preserve">ZERO_RESIDUAL_NO_SALE</t>
        </is>
      </c>
      <c r="U118" s="9">
        <f>C118-D118-I118-K118-Q118+S118</f>
        <v>3260645408.66954</v>
      </c>
      <c r="V118" s="9">
        <v>0</v>
      </c>
      <c r="W118" s="9">
        <v>0</v>
      </c>
      <c r="X118" s="9">
        <f>V118-W118</f>
        <v>0</v>
      </c>
    </row>
    <row r="119">
      <c r="A119" s="0" t="inlineStr">
        <is>
          <t xml:space="preserve">VG-008</t>
        </is>
      </c>
      <c r="B119" s="23">
        <v>5</v>
      </c>
      <c r="C119" s="9">
        <v>4177043017.1434913</v>
      </c>
      <c r="D119" s="9">
        <v>527685678</v>
      </c>
      <c r="E119" s="9">
        <v>1755122285.3535352</v>
      </c>
      <c r="F119" s="9">
        <v>1894235053.789956</v>
      </c>
      <c r="G119" s="9">
        <v>0</v>
      </c>
      <c r="H119" s="9">
        <v>0</v>
      </c>
      <c r="I119" s="9">
        <v>378847010.75799125</v>
      </c>
      <c r="J119" s="9">
        <v>343318604.1487801</v>
      </c>
      <c r="K119" s="9">
        <v>1691056.3615466952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131634171.40151514</v>
      </c>
      <c r="R119" s="9">
        <v>0</v>
      </c>
      <c r="S119" s="9">
        <v>0</v>
      </c>
      <c r="T119" s="0" t="inlineStr">
        <is>
          <t xml:space="preserve">ZERO_RESIDUAL_NO_SALE</t>
        </is>
      </c>
      <c r="U119" s="9">
        <f>C119-D119-I119-K119-Q119+S119</f>
        <v>3137185100.6224384</v>
      </c>
      <c r="V119" s="9">
        <v>0</v>
      </c>
      <c r="W119" s="9">
        <v>0</v>
      </c>
      <c r="X119" s="9">
        <f>V119-W119</f>
        <v>0</v>
      </c>
    </row>
    <row r="120">
      <c r="A120" s="0" t="inlineStr">
        <is>
          <t xml:space="preserve">VG-008</t>
        </is>
      </c>
      <c r="B120" s="23">
        <v>6</v>
      </c>
      <c r="C120" s="9">
        <v>4197719380.078352</v>
      </c>
      <c r="D120" s="9">
        <v>538239391.5600001</v>
      </c>
      <c r="E120" s="9">
        <v>1755122285.3535352</v>
      </c>
      <c r="F120" s="9">
        <v>1904357703.1648169</v>
      </c>
      <c r="G120" s="9">
        <v>0</v>
      </c>
      <c r="H120" s="9">
        <v>0</v>
      </c>
      <c r="I120" s="9">
        <v>380871540.6329634</v>
      </c>
      <c r="J120" s="9">
        <v>345018031.2393166</v>
      </c>
      <c r="K120" s="9">
        <v>1699427.0905364752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0" t="inlineStr">
        <is>
          <t xml:space="preserve">ZERO_RESIDUAL_NO_SALE</t>
        </is>
      </c>
      <c r="U120" s="9">
        <f>C120-D120-I120-K120-Q120+S120</f>
        <v>3276909020.794852</v>
      </c>
      <c r="V120" s="9">
        <v>0</v>
      </c>
      <c r="W120" s="9">
        <v>0</v>
      </c>
      <c r="X120" s="9">
        <f>V120-W120</f>
        <v>0</v>
      </c>
    </row>
    <row r="121">
      <c r="A121" s="0" t="inlineStr">
        <is>
          <t xml:space="preserve">VG-008</t>
        </is>
      </c>
      <c r="B121" s="23">
        <v>7</v>
      </c>
      <c r="C121" s="9">
        <v>4218498091.0097404</v>
      </c>
      <c r="D121" s="9">
        <v>549004179.3912001</v>
      </c>
      <c r="E121" s="9">
        <v>1755122285.3535352</v>
      </c>
      <c r="F121" s="9">
        <v>1914371626.265005</v>
      </c>
      <c r="G121" s="9">
        <v>0</v>
      </c>
      <c r="H121" s="9">
        <v>0</v>
      </c>
      <c r="I121" s="9">
        <v>382874325.25300103</v>
      </c>
      <c r="J121" s="9">
        <v>346725870.49395126</v>
      </c>
      <c r="K121" s="9">
        <v>1707839.2546346784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0</v>
      </c>
      <c r="R121" s="9">
        <v>0</v>
      </c>
      <c r="S121" s="9">
        <v>0</v>
      </c>
      <c r="T121" s="0" t="inlineStr">
        <is>
          <t xml:space="preserve">ZERO_RESIDUAL_NO_SALE</t>
        </is>
      </c>
      <c r="U121" s="9">
        <f>C121-D121-I121-K121-Q121+S121</f>
        <v>3284911747.110904</v>
      </c>
      <c r="V121" s="9">
        <v>0</v>
      </c>
      <c r="W121" s="9">
        <v>0</v>
      </c>
      <c r="X121" s="9">
        <f>V121-W121</f>
        <v>0</v>
      </c>
    </row>
    <row r="122">
      <c r="A122" s="0" t="inlineStr">
        <is>
          <t xml:space="preserve">VG-008</t>
        </is>
      </c>
      <c r="B122" s="23">
        <v>8</v>
      </c>
      <c r="C122" s="9">
        <v>4239379656.560238</v>
      </c>
      <c r="D122" s="9">
        <v>559984262.979024</v>
      </c>
      <c r="E122" s="9">
        <v>1755122285.3535352</v>
      </c>
      <c r="F122" s="9">
        <v>1924273108.2276788</v>
      </c>
      <c r="G122" s="9">
        <v>0</v>
      </c>
      <c r="H122" s="9">
        <v>0</v>
      </c>
      <c r="I122" s="9">
        <v>384854621.64553577</v>
      </c>
      <c r="J122" s="9">
        <v>348442163.55289626</v>
      </c>
      <c r="K122" s="9">
        <v>1716293.0589450002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0" t="inlineStr">
        <is>
          <t xml:space="preserve">ZERO_RESIDUAL_NO_SALE</t>
        </is>
      </c>
      <c r="U122" s="9">
        <f>C122-D122-I122-K122-Q122+S122</f>
        <v>3292824478.876733</v>
      </c>
      <c r="V122" s="9">
        <v>0</v>
      </c>
      <c r="W122" s="9">
        <v>0</v>
      </c>
      <c r="X122" s="9">
        <f>V122-W122</f>
        <v>0</v>
      </c>
    </row>
    <row r="123">
      <c r="A123" s="0" t="inlineStr">
        <is>
          <t xml:space="preserve">VG-008</t>
        </is>
      </c>
      <c r="B123" s="23">
        <v>9</v>
      </c>
      <c r="C123" s="9">
        <v>4260364585.8602114</v>
      </c>
      <c r="D123" s="9">
        <v>571183948.2386045</v>
      </c>
      <c r="E123" s="9">
        <v>1755122285.3535352</v>
      </c>
      <c r="F123" s="9">
        <v>1934058352.2680717</v>
      </c>
      <c r="G123" s="9">
        <v>0</v>
      </c>
      <c r="H123" s="9">
        <v>0</v>
      </c>
      <c r="I123" s="9">
        <v>386811670.45361435</v>
      </c>
      <c r="J123" s="9">
        <v>350166952.2624831</v>
      </c>
      <c r="K123" s="9">
        <v>1724788.7095868587</v>
      </c>
      <c r="L123" s="9">
        <v>0</v>
      </c>
      <c r="M123" s="9">
        <v>0</v>
      </c>
      <c r="N123" s="9">
        <v>0</v>
      </c>
      <c r="O123" s="9">
        <v>0</v>
      </c>
      <c r="P123" s="9">
        <v>0</v>
      </c>
      <c r="Q123" s="9">
        <v>0</v>
      </c>
      <c r="R123" s="9">
        <v>0</v>
      </c>
      <c r="S123" s="9">
        <v>0</v>
      </c>
      <c r="T123" s="0" t="inlineStr">
        <is>
          <t xml:space="preserve">ZERO_RESIDUAL_NO_SALE</t>
        </is>
      </c>
      <c r="U123" s="9">
        <f>C123-D123-I123-K123-Q123+S123</f>
        <v>3300644178.4584055</v>
      </c>
      <c r="V123" s="9">
        <v>0</v>
      </c>
      <c r="W123" s="9">
        <v>0</v>
      </c>
      <c r="X123" s="9">
        <f>V123-W123</f>
        <v>0</v>
      </c>
    </row>
    <row r="124">
      <c r="A124" s="0" t="inlineStr">
        <is>
          <t xml:space="preserve">VG-008</t>
        </is>
      </c>
      <c r="B124" s="23">
        <v>10</v>
      </c>
      <c r="C124" s="9">
        <v>4281453390.560219</v>
      </c>
      <c r="D124" s="9">
        <v>582607627.2033767</v>
      </c>
      <c r="E124" s="9">
        <v>1755122285.3535352</v>
      </c>
      <c r="F124" s="9">
        <v>1943723478.0033069</v>
      </c>
      <c r="G124" s="9">
        <v>0</v>
      </c>
      <c r="H124" s="9">
        <v>0</v>
      </c>
      <c r="I124" s="9">
        <v>388744695.6006614</v>
      </c>
      <c r="J124" s="9">
        <v>351900278.6761824</v>
      </c>
      <c r="K124" s="9">
        <v>1733326.4136992693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131634171.40151514</v>
      </c>
      <c r="R124" s="9">
        <v>0</v>
      </c>
      <c r="S124" s="9">
        <v>0</v>
      </c>
      <c r="T124" s="0" t="inlineStr">
        <is>
          <t xml:space="preserve">ZERO_RESIDUAL_NO_SALE</t>
        </is>
      </c>
      <c r="U124" s="9">
        <f>C124-D124-I124-K124-Q124+S124</f>
        <v>3176733569.9409666</v>
      </c>
      <c r="V124" s="9">
        <v>0</v>
      </c>
      <c r="W124" s="9">
        <v>0</v>
      </c>
      <c r="X124" s="9">
        <f>V124-W124</f>
        <v>0</v>
      </c>
    </row>
    <row r="125">
      <c r="A125" s="0" t="inlineStr">
        <is>
          <t xml:space="preserve">VG-008</t>
        </is>
      </c>
      <c r="B125" s="23">
        <v>11</v>
      </c>
      <c r="C125" s="9">
        <v>4302646584.8434925</v>
      </c>
      <c r="D125" s="9">
        <v>594259779.7474442</v>
      </c>
      <c r="E125" s="9">
        <v>1755122285.3535352</v>
      </c>
      <c r="F125" s="9">
        <v>1953264519.7425132</v>
      </c>
      <c r="G125" s="9">
        <v>0</v>
      </c>
      <c r="H125" s="9">
        <v>0</v>
      </c>
      <c r="I125" s="9">
        <v>390652903.94850266</v>
      </c>
      <c r="J125" s="9">
        <v>353642185.05562955</v>
      </c>
      <c r="K125" s="9">
        <v>1741906.3794471622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>
        <v>0</v>
      </c>
      <c r="T125" s="0" t="inlineStr">
        <is>
          <t xml:space="preserve">ZERO_RESIDUAL_NO_SALE</t>
        </is>
      </c>
      <c r="U125" s="9">
        <f>C125-D125-I125-K125-Q125+S125</f>
        <v>3315991994.768099</v>
      </c>
      <c r="V125" s="9">
        <v>0</v>
      </c>
      <c r="W125" s="9">
        <v>0</v>
      </c>
      <c r="X125" s="9">
        <f>V125-W125</f>
        <v>0</v>
      </c>
    </row>
    <row r="126">
      <c r="A126" s="0" t="inlineStr">
        <is>
          <t xml:space="preserve">VG-008</t>
        </is>
      </c>
      <c r="B126" s="23">
        <v>12</v>
      </c>
      <c r="C126" s="9">
        <v>4323944685.438467</v>
      </c>
      <c r="D126" s="9">
        <v>606144975.342393</v>
      </c>
      <c r="E126" s="9">
        <v>1755122285.3535352</v>
      </c>
      <c r="F126" s="9">
        <v>1962677424.742539</v>
      </c>
      <c r="G126" s="9">
        <v>0</v>
      </c>
      <c r="H126" s="9">
        <v>0</v>
      </c>
      <c r="I126" s="9">
        <v>392535484.9485078</v>
      </c>
      <c r="J126" s="9">
        <v>355392713.8716548</v>
      </c>
      <c r="K126" s="9">
        <v>1750528.816025257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0</v>
      </c>
      <c r="R126" s="9">
        <v>0</v>
      </c>
      <c r="S126" s="9">
        <v>0</v>
      </c>
      <c r="T126" s="0" t="inlineStr">
        <is>
          <t xml:space="preserve">ZERO_RESIDUAL_NO_SALE</t>
        </is>
      </c>
      <c r="U126" s="9">
        <f>C126-D126-I126-K126-Q126+S126</f>
        <v>3323513696.331541</v>
      </c>
      <c r="V126" s="9">
        <v>0</v>
      </c>
      <c r="W126" s="9">
        <v>0</v>
      </c>
      <c r="X126" s="9">
        <f>V126-W126</f>
        <v>0</v>
      </c>
    </row>
    <row r="127">
      <c r="A127" s="0" t="inlineStr">
        <is>
          <t xml:space="preserve">VG-008</t>
        </is>
      </c>
      <c r="B127" s="23">
        <v>13</v>
      </c>
      <c r="C127" s="9">
        <v>4345348211.631388</v>
      </c>
      <c r="D127" s="9">
        <v>618267874.8492409</v>
      </c>
      <c r="E127" s="9">
        <v>1755122285.3535352</v>
      </c>
      <c r="F127" s="9">
        <v>1971958051.4286118</v>
      </c>
      <c r="G127" s="9">
        <v>0</v>
      </c>
      <c r="H127" s="9">
        <v>0</v>
      </c>
      <c r="I127" s="9">
        <v>394391610.2857224</v>
      </c>
      <c r="J127" s="9">
        <v>357151907.80531955</v>
      </c>
      <c r="K127" s="9">
        <v>1759193.9336647391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0</v>
      </c>
      <c r="R127" s="9">
        <v>0</v>
      </c>
      <c r="S127" s="9">
        <v>0</v>
      </c>
      <c r="T127" s="0" t="inlineStr">
        <is>
          <t xml:space="preserve">ZERO_RESIDUAL_NO_SALE</t>
        </is>
      </c>
      <c r="U127" s="9">
        <f>C127-D127-I127-K127-Q127+S127</f>
        <v>3330929532.56276</v>
      </c>
      <c r="V127" s="9">
        <v>0</v>
      </c>
      <c r="W127" s="9">
        <v>0</v>
      </c>
      <c r="X127" s="9">
        <f>V127-W127</f>
        <v>0</v>
      </c>
    </row>
    <row r="128">
      <c r="A128" s="0" t="inlineStr">
        <is>
          <t xml:space="preserve">VG-008</t>
        </is>
      </c>
      <c r="B128" s="23">
        <v>14</v>
      </c>
      <c r="C128" s="9">
        <v>4366857685.278963</v>
      </c>
      <c r="D128" s="9">
        <v>630633232.3462259</v>
      </c>
      <c r="E128" s="9">
        <v>1755122285.3535352</v>
      </c>
      <c r="F128" s="9">
        <v>1981102167.5792022</v>
      </c>
      <c r="G128" s="9">
        <v>0</v>
      </c>
      <c r="H128" s="9">
        <v>0</v>
      </c>
      <c r="I128" s="9">
        <v>396220433.5158405</v>
      </c>
      <c r="J128" s="9">
        <v>358919809.7489559</v>
      </c>
      <c r="K128" s="9">
        <v>1767901.9436363578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>
        <v>0</v>
      </c>
      <c r="T128" s="0" t="inlineStr">
        <is>
          <t xml:space="preserve">ZERO_RESIDUAL_NO_SALE</t>
        </is>
      </c>
      <c r="U128" s="9">
        <f>C128-D128-I128-K128-Q128+S128</f>
        <v>3338236117.4732604</v>
      </c>
      <c r="V128" s="9">
        <v>0</v>
      </c>
      <c r="W128" s="9">
        <v>0</v>
      </c>
      <c r="X128" s="9">
        <f>V128-W128</f>
        <v>0</v>
      </c>
    </row>
    <row r="129">
      <c r="A129" s="0" t="inlineStr">
        <is>
          <t xml:space="preserve">VG-008</t>
        </is>
      </c>
      <c r="B129" s="23">
        <v>15</v>
      </c>
      <c r="C129" s="9">
        <v>4388473630.821095</v>
      </c>
      <c r="D129" s="9">
        <v>643245896.9931502</v>
      </c>
      <c r="E129" s="9">
        <v>1755122285.3535352</v>
      </c>
      <c r="F129" s="9">
        <v>1990105448.47441</v>
      </c>
      <c r="G129" s="9">
        <v>0</v>
      </c>
      <c r="H129" s="9">
        <v>0</v>
      </c>
      <c r="I129" s="9">
        <v>398021089.69488204</v>
      </c>
      <c r="J129" s="9">
        <v>0</v>
      </c>
      <c r="K129" s="9">
        <v>-358919809.7489559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v>0</v>
      </c>
      <c r="R129" s="9">
        <v>0</v>
      </c>
      <c r="S129" s="9">
        <v>358919809.7489559</v>
      </c>
      <c r="T129" s="0" t="inlineStr">
        <is>
          <t xml:space="preserve">ZERO_RESIDUAL_NO_SALE</t>
        </is>
      </c>
      <c r="U129" s="9">
        <f>C129-D129-I129-K129-Q129+S129</f>
        <v>3706126453.882019</v>
      </c>
      <c r="V129" s="9">
        <v>0</v>
      </c>
      <c r="W129" s="9">
        <v>0</v>
      </c>
      <c r="X129" s="9">
        <f>V129-W129</f>
        <v>0</v>
      </c>
    </row>
    <row r="130">
      <c r="A130" s="0" t="inlineStr">
        <is>
          <t xml:space="preserve">VG-009</t>
        </is>
      </c>
      <c r="B130" s="23">
        <v>0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28838197916.666668</v>
      </c>
      <c r="M130" s="9">
        <v>26326834280.30303</v>
      </c>
      <c r="N130" s="9">
        <v>2511363636.3636394</v>
      </c>
      <c r="O130" s="9">
        <v>27625000000</v>
      </c>
      <c r="P130" s="9">
        <v>1213197916.6666665</v>
      </c>
      <c r="Q130" s="9">
        <v>0</v>
      </c>
      <c r="R130" s="9">
        <v>0</v>
      </c>
      <c r="S130" s="9">
        <v>0</v>
      </c>
      <c r="T130" s="0" t="inlineStr">
        <is>
          <t xml:space="preserve">ZERO_RESIDUAL_NO_SALE</t>
        </is>
      </c>
      <c r="U130" s="9">
        <f>C130-D130-I130-K130-Q130+S130</f>
        <v>0</v>
      </c>
      <c r="V130" s="9">
        <v>28838197916.666668</v>
      </c>
      <c r="W130" s="9">
        <v>28838197916.666668</v>
      </c>
      <c r="X130" s="9">
        <f>V130-W130</f>
        <v>0</v>
      </c>
    </row>
    <row r="131">
      <c r="A131" s="0" t="inlineStr">
        <is>
          <t xml:space="preserve">VG-009</t>
        </is>
      </c>
      <c r="B131" s="23">
        <v>1</v>
      </c>
      <c r="C131" s="9">
        <v>4191712200</v>
      </c>
      <c r="D131" s="9">
        <v>487500000</v>
      </c>
      <c r="E131" s="9">
        <v>1755122285.3535352</v>
      </c>
      <c r="F131" s="9">
        <v>1949089914.6464648</v>
      </c>
      <c r="G131" s="9">
        <v>0</v>
      </c>
      <c r="H131" s="9">
        <v>0</v>
      </c>
      <c r="I131" s="9">
        <v>389817982.929293</v>
      </c>
      <c r="J131" s="9">
        <v>344524290.4109589</v>
      </c>
      <c r="K131" s="9">
        <v>344524290.4109589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>
        <v>0</v>
      </c>
      <c r="T131" s="0" t="inlineStr">
        <is>
          <t xml:space="preserve">ZERO_RESIDUAL_NO_SALE</t>
        </is>
      </c>
      <c r="U131" s="9">
        <f>C131-D131-I131-K131-Q131+S131</f>
        <v>2969869926.659748</v>
      </c>
      <c r="V131" s="9">
        <v>0</v>
      </c>
      <c r="W131" s="9">
        <v>0</v>
      </c>
      <c r="X131" s="9">
        <f>V131-W131</f>
        <v>0</v>
      </c>
    </row>
    <row r="132">
      <c r="A132" s="0" t="inlineStr">
        <is>
          <t xml:space="preserve">VG-009</t>
        </is>
      </c>
      <c r="B132" s="23">
        <v>2</v>
      </c>
      <c r="C132" s="9">
        <v>4212461175.39</v>
      </c>
      <c r="D132" s="9">
        <v>497250000</v>
      </c>
      <c r="E132" s="9">
        <v>1755122285.3535352</v>
      </c>
      <c r="F132" s="9">
        <v>1960088890.0364647</v>
      </c>
      <c r="G132" s="9">
        <v>0</v>
      </c>
      <c r="H132" s="9">
        <v>0</v>
      </c>
      <c r="I132" s="9">
        <v>392017778.007293</v>
      </c>
      <c r="J132" s="9">
        <v>346229685.6484932</v>
      </c>
      <c r="K132" s="9">
        <v>1705395.2375342846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v>0</v>
      </c>
      <c r="R132" s="9">
        <v>0</v>
      </c>
      <c r="S132" s="9">
        <v>0</v>
      </c>
      <c r="T132" s="0" t="inlineStr">
        <is>
          <t xml:space="preserve">ZERO_RESIDUAL_NO_SALE</t>
        </is>
      </c>
      <c r="U132" s="9">
        <f>C132-D132-I132-K132-Q132+S132</f>
        <v>3321488002.145172</v>
      </c>
      <c r="V132" s="9">
        <v>0</v>
      </c>
      <c r="W132" s="9">
        <v>0</v>
      </c>
      <c r="X132" s="9">
        <f>V132-W132</f>
        <v>0</v>
      </c>
    </row>
    <row r="133">
      <c r="A133" s="0" t="inlineStr">
        <is>
          <t xml:space="preserve">VG-009</t>
        </is>
      </c>
      <c r="B133" s="23">
        <v>3</v>
      </c>
      <c r="C133" s="9">
        <v>4233312858.208181</v>
      </c>
      <c r="D133" s="9">
        <v>507195000</v>
      </c>
      <c r="E133" s="9">
        <v>1755122285.3535352</v>
      </c>
      <c r="F133" s="9">
        <v>1970995572.8546457</v>
      </c>
      <c r="G133" s="9">
        <v>0</v>
      </c>
      <c r="H133" s="9">
        <v>0</v>
      </c>
      <c r="I133" s="9">
        <v>394199114.57092917</v>
      </c>
      <c r="J133" s="9">
        <v>347943522.59245324</v>
      </c>
      <c r="K133" s="9">
        <v>1713836.9439600706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0" t="inlineStr">
        <is>
          <t xml:space="preserve">ZERO_RESIDUAL_NO_SALE</t>
        </is>
      </c>
      <c r="U133" s="9">
        <f>C133-D133-I133-K133-Q133+S133</f>
        <v>3330204906.6932917</v>
      </c>
      <c r="V133" s="9">
        <v>0</v>
      </c>
      <c r="W133" s="9">
        <v>0</v>
      </c>
      <c r="X133" s="9">
        <f>V133-W133</f>
        <v>0</v>
      </c>
    </row>
    <row r="134">
      <c r="A134" s="0" t="inlineStr">
        <is>
          <t xml:space="preserve">VG-009</t>
        </is>
      </c>
      <c r="B134" s="23">
        <v>4</v>
      </c>
      <c r="C134" s="9">
        <v>4254267756.856312</v>
      </c>
      <c r="D134" s="9">
        <v>517338900.00000006</v>
      </c>
      <c r="E134" s="9">
        <v>1755122285.3535352</v>
      </c>
      <c r="F134" s="9">
        <v>1981806571.5027766</v>
      </c>
      <c r="G134" s="9">
        <v>0</v>
      </c>
      <c r="H134" s="9">
        <v>0</v>
      </c>
      <c r="I134" s="9">
        <v>396361314.30055535</v>
      </c>
      <c r="J134" s="9">
        <v>349665843.0292859</v>
      </c>
      <c r="K134" s="9">
        <v>1722320.4368326664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9">
        <v>0</v>
      </c>
      <c r="S134" s="9">
        <v>0</v>
      </c>
      <c r="T134" s="0" t="inlineStr">
        <is>
          <t xml:space="preserve">ZERO_RESIDUAL_NO_SALE</t>
        </is>
      </c>
      <c r="U134" s="9">
        <f>C134-D134-I134-K134-Q134+S134</f>
        <v>3338845222.118924</v>
      </c>
      <c r="V134" s="9">
        <v>0</v>
      </c>
      <c r="W134" s="9">
        <v>0</v>
      </c>
      <c r="X134" s="9">
        <f>V134-W134</f>
        <v>0</v>
      </c>
    </row>
    <row r="135">
      <c r="A135" s="0" t="inlineStr">
        <is>
          <t xml:space="preserve">VG-009</t>
        </is>
      </c>
      <c r="B135" s="23">
        <v>5</v>
      </c>
      <c r="C135" s="9">
        <v>4275326382.2527494</v>
      </c>
      <c r="D135" s="9">
        <v>527685678</v>
      </c>
      <c r="E135" s="9">
        <v>1755122285.3535352</v>
      </c>
      <c r="F135" s="9">
        <v>1992518418.8992143</v>
      </c>
      <c r="G135" s="9">
        <v>0</v>
      </c>
      <c r="H135" s="9">
        <v>0</v>
      </c>
      <c r="I135" s="9">
        <v>398503683.77984285</v>
      </c>
      <c r="J135" s="9">
        <v>351396688.9522808</v>
      </c>
      <c r="K135" s="9">
        <v>1730845.9229949117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131634171.40151514</v>
      </c>
      <c r="R135" s="9">
        <v>0</v>
      </c>
      <c r="S135" s="9">
        <v>0</v>
      </c>
      <c r="T135" s="0" t="inlineStr">
        <is>
          <t xml:space="preserve">ZERO_RESIDUAL_NO_SALE</t>
        </is>
      </c>
      <c r="U135" s="9">
        <f>C135-D135-I135-K135-Q135+S135</f>
        <v>3215772003.1483965</v>
      </c>
      <c r="V135" s="9">
        <v>0</v>
      </c>
      <c r="W135" s="9">
        <v>0</v>
      </c>
      <c r="X135" s="9">
        <f>V135-W135</f>
        <v>0</v>
      </c>
    </row>
    <row r="136">
      <c r="A136" s="0" t="inlineStr">
        <is>
          <t xml:space="preserve">VG-009</t>
        </is>
      </c>
      <c r="B136" s="23">
        <v>6</v>
      </c>
      <c r="C136" s="9">
        <v>4296489247.844901</v>
      </c>
      <c r="D136" s="9">
        <v>538239391.5600001</v>
      </c>
      <c r="E136" s="9">
        <v>1755122285.3535352</v>
      </c>
      <c r="F136" s="9">
        <v>2003127570.931366</v>
      </c>
      <c r="G136" s="9">
        <v>0</v>
      </c>
      <c r="H136" s="9">
        <v>0</v>
      </c>
      <c r="I136" s="9">
        <v>400625514.1862732</v>
      </c>
      <c r="J136" s="9">
        <v>353136102.5625946</v>
      </c>
      <c r="K136" s="9">
        <v>1739413.6103137732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>
        <v>0</v>
      </c>
      <c r="T136" s="0" t="inlineStr">
        <is>
          <t xml:space="preserve">ZERO_RESIDUAL_NO_SALE</t>
        </is>
      </c>
      <c r="U136" s="9">
        <f>C136-D136-I136-K136-Q136+S136</f>
        <v>3355884928.488314</v>
      </c>
      <c r="V136" s="9">
        <v>0</v>
      </c>
      <c r="W136" s="9">
        <v>0</v>
      </c>
      <c r="X136" s="9">
        <f>V136-W136</f>
        <v>0</v>
      </c>
    </row>
    <row r="137">
      <c r="A137" s="0" t="inlineStr">
        <is>
          <t xml:space="preserve">VG-009</t>
        </is>
      </c>
      <c r="B137" s="23">
        <v>7</v>
      </c>
      <c r="C137" s="9">
        <v>4317756869.621734</v>
      </c>
      <c r="D137" s="9">
        <v>549004179.3912001</v>
      </c>
      <c r="E137" s="9">
        <v>1755122285.3535352</v>
      </c>
      <c r="F137" s="9">
        <v>2013630404.8769984</v>
      </c>
      <c r="G137" s="9">
        <v>0</v>
      </c>
      <c r="H137" s="9">
        <v>0</v>
      </c>
      <c r="I137" s="9">
        <v>402726080.97539973</v>
      </c>
      <c r="J137" s="9">
        <v>354884126.27027947</v>
      </c>
      <c r="K137" s="9">
        <v>1748023.7076848745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0" t="inlineStr">
        <is>
          <t xml:space="preserve">ZERO_RESIDUAL_NO_SALE</t>
        </is>
      </c>
      <c r="U137" s="9">
        <f>C137-D137-I137-K137-Q137+S137</f>
        <v>3364278585.5474486</v>
      </c>
      <c r="V137" s="9">
        <v>0</v>
      </c>
      <c r="W137" s="9">
        <v>0</v>
      </c>
      <c r="X137" s="9">
        <f>V137-W137</f>
        <v>0</v>
      </c>
    </row>
    <row r="138">
      <c r="A138" s="0" t="inlineStr">
        <is>
          <t xml:space="preserve">VG-009</t>
        </is>
      </c>
      <c r="B138" s="23">
        <v>8</v>
      </c>
      <c r="C138" s="9">
        <v>4339129766.126361</v>
      </c>
      <c r="D138" s="9">
        <v>559984262.979024</v>
      </c>
      <c r="E138" s="9">
        <v>1755122285.3535352</v>
      </c>
      <c r="F138" s="9">
        <v>2024023217.7938018</v>
      </c>
      <c r="G138" s="9">
        <v>0</v>
      </c>
      <c r="H138" s="9">
        <v>0</v>
      </c>
      <c r="I138" s="9">
        <v>404804643.5587604</v>
      </c>
      <c r="J138" s="9">
        <v>356640802.6953173</v>
      </c>
      <c r="K138" s="9">
        <v>1756676.4250378609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0</v>
      </c>
      <c r="T138" s="0" t="inlineStr">
        <is>
          <t xml:space="preserve">ZERO_RESIDUAL_NO_SALE</t>
        </is>
      </c>
      <c r="U138" s="9">
        <f>C138-D138-I138-K138-Q138+S138</f>
        <v>3372584183.1635385</v>
      </c>
      <c r="V138" s="9">
        <v>0</v>
      </c>
      <c r="W138" s="9">
        <v>0</v>
      </c>
      <c r="X138" s="9">
        <f>V138-W138</f>
        <v>0</v>
      </c>
    </row>
    <row r="139">
      <c r="A139" s="0" t="inlineStr">
        <is>
          <t xml:space="preserve">VG-009</t>
        </is>
      </c>
      <c r="B139" s="23">
        <v>9</v>
      </c>
      <c r="C139" s="9">
        <v>4360608458.468687</v>
      </c>
      <c r="D139" s="9">
        <v>571183948.2386045</v>
      </c>
      <c r="E139" s="9">
        <v>1755122285.3535352</v>
      </c>
      <c r="F139" s="9">
        <v>2034302224.8765473</v>
      </c>
      <c r="G139" s="9">
        <v>0</v>
      </c>
      <c r="H139" s="9">
        <v>0</v>
      </c>
      <c r="I139" s="9">
        <v>406860444.9753095</v>
      </c>
      <c r="J139" s="9">
        <v>358406174.6686592</v>
      </c>
      <c r="K139" s="9">
        <v>1765371.9733418822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0</v>
      </c>
      <c r="T139" s="0" t="inlineStr">
        <is>
          <t xml:space="preserve">ZERO_RESIDUAL_NO_SALE</t>
        </is>
      </c>
      <c r="U139" s="9">
        <f>C139-D139-I139-K139-Q139+S139</f>
        <v>3380798693.281431</v>
      </c>
      <c r="V139" s="9">
        <v>0</v>
      </c>
      <c r="W139" s="9">
        <v>0</v>
      </c>
      <c r="X139" s="9">
        <f>V139-W139</f>
        <v>0</v>
      </c>
    </row>
    <row r="140">
      <c r="A140" s="0" t="inlineStr">
        <is>
          <t xml:space="preserve">VG-009</t>
        </is>
      </c>
      <c r="B140" s="23">
        <v>10</v>
      </c>
      <c r="C140" s="9">
        <v>4382193470.338106</v>
      </c>
      <c r="D140" s="9">
        <v>582607627.2033767</v>
      </c>
      <c r="E140" s="9">
        <v>1755122285.3535352</v>
      </c>
      <c r="F140" s="9">
        <v>2044463557.7811942</v>
      </c>
      <c r="G140" s="9">
        <v>0</v>
      </c>
      <c r="H140" s="9">
        <v>0</v>
      </c>
      <c r="I140" s="9">
        <v>408892711.5562389</v>
      </c>
      <c r="J140" s="9">
        <v>360180285.23326904</v>
      </c>
      <c r="K140" s="9">
        <v>1774110.5646098256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v>131634171.40151514</v>
      </c>
      <c r="R140" s="9">
        <v>0</v>
      </c>
      <c r="S140" s="9">
        <v>0</v>
      </c>
      <c r="T140" s="0" t="inlineStr">
        <is>
          <t xml:space="preserve">ZERO_RESIDUAL_NO_SALE</t>
        </is>
      </c>
      <c r="U140" s="9">
        <f>C140-D140-I140-K140-Q140+S140</f>
        <v>3257284849.6123652</v>
      </c>
      <c r="V140" s="9">
        <v>0</v>
      </c>
      <c r="W140" s="9">
        <v>0</v>
      </c>
      <c r="X140" s="9">
        <f>V140-W140</f>
        <v>0</v>
      </c>
    </row>
    <row r="141">
      <c r="A141" s="0" t="inlineStr">
        <is>
          <t xml:space="preserve">VG-009</t>
        </is>
      </c>
      <c r="B141" s="23">
        <v>11</v>
      </c>
      <c r="C141" s="9">
        <v>4403885328.01628</v>
      </c>
      <c r="D141" s="9">
        <v>594259779.7474442</v>
      </c>
      <c r="E141" s="9">
        <v>1755122285.3535352</v>
      </c>
      <c r="F141" s="9">
        <v>2054503262.9153008</v>
      </c>
      <c r="G141" s="9">
        <v>0</v>
      </c>
      <c r="H141" s="9">
        <v>0</v>
      </c>
      <c r="I141" s="9">
        <v>410900652.5830602</v>
      </c>
      <c r="J141" s="9">
        <v>361963177.6451737</v>
      </c>
      <c r="K141" s="9">
        <v>1782892.4119046926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0" t="inlineStr">
        <is>
          <t xml:space="preserve">ZERO_RESIDUAL_NO_SALE</t>
        </is>
      </c>
      <c r="U141" s="9">
        <f>C141-D141-I141-K141-Q141+S141</f>
        <v>3396942003.273871</v>
      </c>
      <c r="V141" s="9">
        <v>0</v>
      </c>
      <c r="W141" s="9">
        <v>0</v>
      </c>
      <c r="X141" s="9">
        <f>V141-W141</f>
        <v>0</v>
      </c>
    </row>
    <row r="142">
      <c r="A142" s="0" t="inlineStr">
        <is>
          <t xml:space="preserve">VG-009</t>
        </is>
      </c>
      <c r="B142" s="23">
        <v>12</v>
      </c>
      <c r="C142" s="9">
        <v>4425684560.38996</v>
      </c>
      <c r="D142" s="9">
        <v>606144975.342393</v>
      </c>
      <c r="E142" s="9">
        <v>1755122285.3535352</v>
      </c>
      <c r="F142" s="9">
        <v>2064417299.6940322</v>
      </c>
      <c r="G142" s="9">
        <v>0</v>
      </c>
      <c r="H142" s="9">
        <v>0</v>
      </c>
      <c r="I142" s="9">
        <v>412883459.9388065</v>
      </c>
      <c r="J142" s="9">
        <v>363754895.37451726</v>
      </c>
      <c r="K142" s="9">
        <v>1791717.7293435335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0" t="inlineStr">
        <is>
          <t xml:space="preserve">ZERO_RESIDUAL_NO_SALE</t>
        </is>
      </c>
      <c r="U142" s="9">
        <f>C142-D142-I142-K142-Q142+S142</f>
        <v>3404864407.3794174</v>
      </c>
      <c r="V142" s="9">
        <v>0</v>
      </c>
      <c r="W142" s="9">
        <v>0</v>
      </c>
      <c r="X142" s="9">
        <f>V142-W142</f>
        <v>0</v>
      </c>
    </row>
    <row r="143">
      <c r="A143" s="0" t="inlineStr">
        <is>
          <t xml:space="preserve">VG-009</t>
        </is>
      </c>
      <c r="B143" s="23">
        <v>13</v>
      </c>
      <c r="C143" s="9">
        <v>4447591698.96389</v>
      </c>
      <c r="D143" s="9">
        <v>618267874.8492409</v>
      </c>
      <c r="E143" s="9">
        <v>1755122285.3535352</v>
      </c>
      <c r="F143" s="9">
        <v>2074201538.7611141</v>
      </c>
      <c r="G143" s="9">
        <v>0</v>
      </c>
      <c r="H143" s="9">
        <v>0</v>
      </c>
      <c r="I143" s="9">
        <v>414840307.75222284</v>
      </c>
      <c r="J143" s="9">
        <v>365555482.1066211</v>
      </c>
      <c r="K143" s="9">
        <v>1800586.7321038246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>
        <v>0</v>
      </c>
      <c r="T143" s="0" t="inlineStr">
        <is>
          <t xml:space="preserve">ZERO_RESIDUAL_NO_SALE</t>
        </is>
      </c>
      <c r="U143" s="9">
        <f>C143-D143-I143-K143-Q143+S143</f>
        <v>3412682929.6303225</v>
      </c>
      <c r="V143" s="9">
        <v>0</v>
      </c>
      <c r="W143" s="9">
        <v>0</v>
      </c>
      <c r="X143" s="9">
        <f>V143-W143</f>
        <v>0</v>
      </c>
    </row>
    <row r="144">
      <c r="A144" s="0" t="inlineStr">
        <is>
          <t xml:space="preserve">VG-009</t>
        </is>
      </c>
      <c r="B144" s="23">
        <v>14</v>
      </c>
      <c r="C144" s="9">
        <v>4469607277.873763</v>
      </c>
      <c r="D144" s="9">
        <v>630633232.3462259</v>
      </c>
      <c r="E144" s="9">
        <v>1755122285.3535352</v>
      </c>
      <c r="F144" s="9">
        <v>2083851760.1740022</v>
      </c>
      <c r="G144" s="9">
        <v>0</v>
      </c>
      <c r="H144" s="9">
        <v>0</v>
      </c>
      <c r="I144" s="9">
        <v>416770352.03480047</v>
      </c>
      <c r="J144" s="9">
        <v>367364981.743049</v>
      </c>
      <c r="K144" s="9">
        <v>1809499.636427939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>
        <v>0</v>
      </c>
      <c r="T144" s="0" t="inlineStr">
        <is>
          <t xml:space="preserve">ZERO_RESIDUAL_NO_SALE</t>
        </is>
      </c>
      <c r="U144" s="9">
        <f>C144-D144-I144-K144-Q144+S144</f>
        <v>3420394193.856309</v>
      </c>
      <c r="V144" s="9">
        <v>0</v>
      </c>
      <c r="W144" s="9">
        <v>0</v>
      </c>
      <c r="X144" s="9">
        <f>V144-W144</f>
        <v>0</v>
      </c>
    </row>
    <row r="145">
      <c r="A145" s="0" t="inlineStr">
        <is>
          <t xml:space="preserve">VG-009</t>
        </is>
      </c>
      <c r="B145" s="23">
        <v>15</v>
      </c>
      <c r="C145" s="9">
        <v>4491731833.899238</v>
      </c>
      <c r="D145" s="9">
        <v>643245896.9931502</v>
      </c>
      <c r="E145" s="9">
        <v>1755122285.3535352</v>
      </c>
      <c r="F145" s="9">
        <v>2093363651.5525522</v>
      </c>
      <c r="G145" s="9">
        <v>0</v>
      </c>
      <c r="H145" s="9">
        <v>0</v>
      </c>
      <c r="I145" s="9">
        <v>418672730.31051046</v>
      </c>
      <c r="J145" s="9">
        <v>0</v>
      </c>
      <c r="K145" s="9">
        <v>-367364981.743049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367364981.743049</v>
      </c>
      <c r="T145" s="0" t="inlineStr">
        <is>
          <t xml:space="preserve">ZERO_RESIDUAL_NO_SALE</t>
        </is>
      </c>
      <c r="U145" s="9">
        <f>C145-D145-I145-K145-Q145+S145</f>
        <v>3797178188.338626</v>
      </c>
      <c r="V145" s="9">
        <v>0</v>
      </c>
      <c r="W145" s="9">
        <v>0</v>
      </c>
      <c r="X145" s="9">
        <f>V145-W145</f>
        <v>0</v>
      </c>
    </row>
    <row r="146">
      <c r="A146" s="0" t="inlineStr">
        <is>
          <t xml:space="preserve">VG-010</t>
        </is>
      </c>
      <c r="B146" s="23">
        <v>0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28838197916.666668</v>
      </c>
      <c r="M146" s="9">
        <v>26326834280.30303</v>
      </c>
      <c r="N146" s="9">
        <v>2511363636.3636394</v>
      </c>
      <c r="O146" s="9">
        <v>27625000000</v>
      </c>
      <c r="P146" s="9">
        <v>1213197916.6666665</v>
      </c>
      <c r="Q146" s="9">
        <v>0</v>
      </c>
      <c r="R146" s="9">
        <v>0</v>
      </c>
      <c r="S146" s="9">
        <v>0</v>
      </c>
      <c r="T146" s="0" t="inlineStr">
        <is>
          <t xml:space="preserve">ZERO_RESIDUAL_NO_SALE</t>
        </is>
      </c>
      <c r="U146" s="9">
        <f>C146-D146-I146-K146-Q146+S146</f>
        <v>0</v>
      </c>
      <c r="V146" s="9">
        <v>28838197916.666668</v>
      </c>
      <c r="W146" s="9">
        <v>28838197916.666668</v>
      </c>
      <c r="X146" s="9">
        <f>V146-W146</f>
        <v>0</v>
      </c>
    </row>
    <row r="147">
      <c r="A147" s="0" t="inlineStr">
        <is>
          <t xml:space="preserve">VG-010</t>
        </is>
      </c>
      <c r="B147" s="23">
        <v>1</v>
      </c>
      <c r="C147" s="9">
        <v>4038604960.000001</v>
      </c>
      <c r="D147" s="9">
        <v>487500000</v>
      </c>
      <c r="E147" s="9">
        <v>1755122285.3535352</v>
      </c>
      <c r="F147" s="9">
        <v>1795982674.6464658</v>
      </c>
      <c r="G147" s="9">
        <v>0</v>
      </c>
      <c r="H147" s="9">
        <v>0</v>
      </c>
      <c r="I147" s="9">
        <v>359196534.92929316</v>
      </c>
      <c r="J147" s="9">
        <v>331940133.6986302</v>
      </c>
      <c r="K147" s="9">
        <v>331940133.6986302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0" t="inlineStr">
        <is>
          <t xml:space="preserve">ZERO_RESIDUAL_NO_SALE</t>
        </is>
      </c>
      <c r="U147" s="9">
        <f>C147-D147-I147-K147-Q147+S147</f>
        <v>2859968291.3720775</v>
      </c>
      <c r="V147" s="9">
        <v>0</v>
      </c>
      <c r="W147" s="9">
        <v>0</v>
      </c>
      <c r="X147" s="9">
        <f>V147-W147</f>
        <v>0</v>
      </c>
    </row>
    <row r="148">
      <c r="A148" s="0" t="inlineStr">
        <is>
          <t xml:space="preserve">VG-010</t>
        </is>
      </c>
      <c r="B148" s="23">
        <v>2</v>
      </c>
      <c r="C148" s="9">
        <v>4058596054.552001</v>
      </c>
      <c r="D148" s="9">
        <v>497250000</v>
      </c>
      <c r="E148" s="9">
        <v>1755122285.3535352</v>
      </c>
      <c r="F148" s="9">
        <v>1806223769.1984658</v>
      </c>
      <c r="G148" s="9">
        <v>0</v>
      </c>
      <c r="H148" s="9">
        <v>0</v>
      </c>
      <c r="I148" s="9">
        <v>361244753.8396932</v>
      </c>
      <c r="J148" s="9">
        <v>333583237.3604384</v>
      </c>
      <c r="K148" s="9">
        <v>1643103.6618081927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0" t="inlineStr">
        <is>
          <t xml:space="preserve">ZERO_RESIDUAL_NO_SALE</t>
        </is>
      </c>
      <c r="U148" s="9">
        <f>C148-D148-I148-K148-Q148+S148</f>
        <v>3198458197.0505</v>
      </c>
      <c r="V148" s="9">
        <v>0</v>
      </c>
      <c r="W148" s="9">
        <v>0</v>
      </c>
      <c r="X148" s="9">
        <f>V148-W148</f>
        <v>0</v>
      </c>
    </row>
    <row r="149">
      <c r="A149" s="0" t="inlineStr">
        <is>
          <t xml:space="preserve">VG-010</t>
        </is>
      </c>
      <c r="B149" s="23">
        <v>3</v>
      </c>
      <c r="C149" s="9">
        <v>4078686105.0220337</v>
      </c>
      <c r="D149" s="9">
        <v>507195000</v>
      </c>
      <c r="E149" s="9">
        <v>1755122285.3535352</v>
      </c>
      <c r="F149" s="9">
        <v>1816368819.6684985</v>
      </c>
      <c r="G149" s="9">
        <v>0</v>
      </c>
      <c r="H149" s="9">
        <v>0</v>
      </c>
      <c r="I149" s="9">
        <v>363273763.9336997</v>
      </c>
      <c r="J149" s="9">
        <v>335234474.38537264</v>
      </c>
      <c r="K149" s="9">
        <v>1651237.0249342322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0" t="inlineStr">
        <is>
          <t xml:space="preserve">ZERO_RESIDUAL_NO_SALE</t>
        </is>
      </c>
      <c r="U149" s="9">
        <f>C149-D149-I149-K149-Q149+S149</f>
        <v>3206566104.0634</v>
      </c>
      <c r="V149" s="9">
        <v>0</v>
      </c>
      <c r="W149" s="9">
        <v>0</v>
      </c>
      <c r="X149" s="9">
        <f>V149-W149</f>
        <v>0</v>
      </c>
    </row>
    <row r="150">
      <c r="A150" s="0" t="inlineStr">
        <is>
          <t xml:space="preserve">VG-010</t>
        </is>
      </c>
      <c r="B150" s="23">
        <v>4</v>
      </c>
      <c r="C150" s="9">
        <v>4098875601.241893</v>
      </c>
      <c r="D150" s="9">
        <v>517338900.00000006</v>
      </c>
      <c r="E150" s="9">
        <v>1755122285.3535352</v>
      </c>
      <c r="F150" s="9">
        <v>1826414415.8883576</v>
      </c>
      <c r="G150" s="9">
        <v>0</v>
      </c>
      <c r="H150" s="9">
        <v>0</v>
      </c>
      <c r="I150" s="9">
        <v>365282883.17767155</v>
      </c>
      <c r="J150" s="9">
        <v>336893885.03358024</v>
      </c>
      <c r="K150" s="9">
        <v>1659410.648207605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0" t="inlineStr">
        <is>
          <t xml:space="preserve">ZERO_RESIDUAL_NO_SALE</t>
        </is>
      </c>
      <c r="U150" s="9">
        <f>C150-D150-I150-K150-Q150+S150</f>
        <v>3214594407.4160137</v>
      </c>
      <c r="V150" s="9">
        <v>0</v>
      </c>
      <c r="W150" s="9">
        <v>0</v>
      </c>
      <c r="X150" s="9">
        <f>V150-W150</f>
        <v>0</v>
      </c>
    </row>
    <row r="151">
      <c r="A151" s="0" t="inlineStr">
        <is>
          <t xml:space="preserve">VG-010</t>
        </is>
      </c>
      <c r="B151" s="23">
        <v>5</v>
      </c>
      <c r="C151" s="9">
        <v>4119165035.4680395</v>
      </c>
      <c r="D151" s="9">
        <v>527685678</v>
      </c>
      <c r="E151" s="9">
        <v>1755122285.3535352</v>
      </c>
      <c r="F151" s="9">
        <v>1836357072.1145043</v>
      </c>
      <c r="G151" s="9">
        <v>0</v>
      </c>
      <c r="H151" s="9">
        <v>0</v>
      </c>
      <c r="I151" s="9">
        <v>367271414.4229009</v>
      </c>
      <c r="J151" s="9">
        <v>338561509.7644964</v>
      </c>
      <c r="K151" s="9">
        <v>1667624.7309161425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131634171.40151514</v>
      </c>
      <c r="R151" s="9">
        <v>0</v>
      </c>
      <c r="S151" s="9">
        <v>0</v>
      </c>
      <c r="T151" s="0" t="inlineStr">
        <is>
          <t xml:space="preserve">ZERO_RESIDUAL_NO_SALE</t>
        </is>
      </c>
      <c r="U151" s="9">
        <f>C151-D151-I151-K151-Q151+S151</f>
        <v>3090906146.9127073</v>
      </c>
      <c r="V151" s="9">
        <v>0</v>
      </c>
      <c r="W151" s="9">
        <v>0</v>
      </c>
      <c r="X151" s="9">
        <f>V151-W151</f>
        <v>0</v>
      </c>
    </row>
    <row r="152">
      <c r="A152" s="0" t="inlineStr">
        <is>
          <t xml:space="preserve">VG-010</t>
        </is>
      </c>
      <c r="B152" s="23">
        <v>6</v>
      </c>
      <c r="C152" s="9">
        <v>4139554902.393607</v>
      </c>
      <c r="D152" s="9">
        <v>538239391.5600001</v>
      </c>
      <c r="E152" s="9">
        <v>1755122285.3535352</v>
      </c>
      <c r="F152" s="9">
        <v>1846193225.480072</v>
      </c>
      <c r="G152" s="9">
        <v>0</v>
      </c>
      <c r="H152" s="9">
        <v>0</v>
      </c>
      <c r="I152" s="9">
        <v>369238645.09601444</v>
      </c>
      <c r="J152" s="9">
        <v>340237389.2378307</v>
      </c>
      <c r="K152" s="9">
        <v>1675879.4733343124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</v>
      </c>
      <c r="S152" s="9">
        <v>0</v>
      </c>
      <c r="T152" s="0" t="inlineStr">
        <is>
          <t xml:space="preserve">ZERO_RESIDUAL_NO_SALE</t>
        </is>
      </c>
      <c r="U152" s="9">
        <f>C152-D152-I152-K152-Q152+S152</f>
        <v>3230400986.2642584</v>
      </c>
      <c r="V152" s="9">
        <v>0</v>
      </c>
      <c r="W152" s="9">
        <v>0</v>
      </c>
      <c r="X152" s="9">
        <f>V152-W152</f>
        <v>0</v>
      </c>
    </row>
    <row r="153">
      <c r="A153" s="0" t="inlineStr">
        <is>
          <t xml:space="preserve">VG-010</t>
        </is>
      </c>
      <c r="B153" s="23">
        <v>7</v>
      </c>
      <c r="C153" s="9">
        <v>4160045699.1604557</v>
      </c>
      <c r="D153" s="9">
        <v>549004179.3912001</v>
      </c>
      <c r="E153" s="9">
        <v>1755122285.3535352</v>
      </c>
      <c r="F153" s="9">
        <v>1855919234.4157205</v>
      </c>
      <c r="G153" s="9">
        <v>0</v>
      </c>
      <c r="H153" s="9">
        <v>0</v>
      </c>
      <c r="I153" s="9">
        <v>371183846.88314414</v>
      </c>
      <c r="J153" s="9">
        <v>341921564.314558</v>
      </c>
      <c r="K153" s="9">
        <v>1684175.0767273307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0" t="inlineStr">
        <is>
          <t xml:space="preserve">ZERO_RESIDUAL_NO_SALE</t>
        </is>
      </c>
      <c r="U153" s="9">
        <f>C153-D153-I153-K153-Q153+S153</f>
        <v>3238173497.809384</v>
      </c>
      <c r="V153" s="9">
        <v>0</v>
      </c>
      <c r="W153" s="9">
        <v>0</v>
      </c>
      <c r="X153" s="9">
        <f>V153-W153</f>
        <v>0</v>
      </c>
    </row>
    <row r="154">
      <c r="A154" s="0" t="inlineStr">
        <is>
          <t xml:space="preserve">VG-010</t>
        </is>
      </c>
      <c r="B154" s="23">
        <v>8</v>
      </c>
      <c r="C154" s="9">
        <v>4180637925.371299</v>
      </c>
      <c r="D154" s="9">
        <v>559984262.979024</v>
      </c>
      <c r="E154" s="9">
        <v>1755122285.3535352</v>
      </c>
      <c r="F154" s="9">
        <v>1865531377.0387397</v>
      </c>
      <c r="G154" s="9">
        <v>0</v>
      </c>
      <c r="H154" s="9">
        <v>0</v>
      </c>
      <c r="I154" s="9">
        <v>373106275.407748</v>
      </c>
      <c r="J154" s="9">
        <v>343614076.057915</v>
      </c>
      <c r="K154" s="9">
        <v>1692511.7433569431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0</v>
      </c>
      <c r="S154" s="9">
        <v>0</v>
      </c>
      <c r="T154" s="0" t="inlineStr">
        <is>
          <t xml:space="preserve">ZERO_RESIDUAL_NO_SALE</t>
        </is>
      </c>
      <c r="U154" s="9">
        <f>C154-D154-I154-K154-Q154+S154</f>
        <v>3245854875.24117</v>
      </c>
      <c r="V154" s="9">
        <v>0</v>
      </c>
      <c r="W154" s="9">
        <v>0</v>
      </c>
      <c r="X154" s="9">
        <f>V154-W154</f>
        <v>0</v>
      </c>
    </row>
    <row r="155">
      <c r="A155" s="0" t="inlineStr">
        <is>
          <t xml:space="preserve">VG-010</t>
        </is>
      </c>
      <c r="B155" s="23">
        <v>9</v>
      </c>
      <c r="C155" s="9">
        <v>4201332083.101887</v>
      </c>
      <c r="D155" s="9">
        <v>571183948.2386045</v>
      </c>
      <c r="E155" s="9">
        <v>1755122285.3535352</v>
      </c>
      <c r="F155" s="9">
        <v>1875025849.5097475</v>
      </c>
      <c r="G155" s="9">
        <v>0</v>
      </c>
      <c r="H155" s="9">
        <v>0</v>
      </c>
      <c r="I155" s="9">
        <v>375005169.9019495</v>
      </c>
      <c r="J155" s="9">
        <v>345314965.73440164</v>
      </c>
      <c r="K155" s="9">
        <v>1700889.676486671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0" t="inlineStr">
        <is>
          <t xml:space="preserve">ZERO_RESIDUAL_NO_SALE</t>
        </is>
      </c>
      <c r="U155" s="9">
        <f>C155-D155-I155-K155-Q155+S155</f>
        <v>3253442075.284847</v>
      </c>
      <c r="V155" s="9">
        <v>0</v>
      </c>
      <c r="W155" s="9">
        <v>0</v>
      </c>
      <c r="X155" s="9">
        <f>V155-W155</f>
        <v>0</v>
      </c>
    </row>
    <row r="156">
      <c r="A156" s="0" t="inlineStr">
        <is>
          <t xml:space="preserve">VG-010</t>
        </is>
      </c>
      <c r="B156" s="23">
        <v>10</v>
      </c>
      <c r="C156" s="9">
        <v>4222128676.913241</v>
      </c>
      <c r="D156" s="9">
        <v>582607627.2033767</v>
      </c>
      <c r="E156" s="9">
        <v>1755122285.3535352</v>
      </c>
      <c r="F156" s="9">
        <v>1884398764.356329</v>
      </c>
      <c r="G156" s="9">
        <v>0</v>
      </c>
      <c r="H156" s="9">
        <v>0</v>
      </c>
      <c r="I156" s="9">
        <v>376879752.8712658</v>
      </c>
      <c r="J156" s="9">
        <v>347024274.8147869</v>
      </c>
      <c r="K156" s="9">
        <v>1709309.0803852677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131634171.40151514</v>
      </c>
      <c r="R156" s="9">
        <v>0</v>
      </c>
      <c r="S156" s="9">
        <v>0</v>
      </c>
      <c r="T156" s="0" t="inlineStr">
        <is>
          <t xml:space="preserve">ZERO_RESIDUAL_NO_SALE</t>
        </is>
      </c>
      <c r="U156" s="9">
        <f>C156-D156-I156-K156-Q156+S156</f>
        <v>3129297816.356698</v>
      </c>
      <c r="V156" s="9">
        <v>0</v>
      </c>
      <c r="W156" s="9">
        <v>0</v>
      </c>
      <c r="X156" s="9">
        <f>V156-W156</f>
        <v>0</v>
      </c>
    </row>
    <row r="157">
      <c r="A157" s="0" t="inlineStr">
        <is>
          <t xml:space="preserve">VG-010</t>
        </is>
      </c>
      <c r="B157" s="23">
        <v>11</v>
      </c>
      <c r="C157" s="9">
        <v>4243028213.8639617</v>
      </c>
      <c r="D157" s="9">
        <v>594259779.7474442</v>
      </c>
      <c r="E157" s="9">
        <v>1755122285.3535352</v>
      </c>
      <c r="F157" s="9">
        <v>1893646148.7629824</v>
      </c>
      <c r="G157" s="9">
        <v>0</v>
      </c>
      <c r="H157" s="9">
        <v>0</v>
      </c>
      <c r="I157" s="9">
        <v>378729229.7525965</v>
      </c>
      <c r="J157" s="9">
        <v>348742044.9751201</v>
      </c>
      <c r="K157" s="9">
        <v>1717770.1603332162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0" t="inlineStr">
        <is>
          <t xml:space="preserve">ZERO_RESIDUAL_NO_SALE</t>
        </is>
      </c>
      <c r="U157" s="9">
        <f>C157-D157-I157-K157-Q157+S157</f>
        <v>3268321434.203588</v>
      </c>
      <c r="V157" s="9">
        <v>0</v>
      </c>
      <c r="W157" s="9">
        <v>0</v>
      </c>
      <c r="X157" s="9">
        <f>V157-W157</f>
        <v>0</v>
      </c>
    </row>
    <row r="158">
      <c r="A158" s="0" t="inlineStr">
        <is>
          <t xml:space="preserve">VG-010</t>
        </is>
      </c>
      <c r="B158" s="23">
        <v>12</v>
      </c>
      <c r="C158" s="9">
        <v>4264031203.522588</v>
      </c>
      <c r="D158" s="9">
        <v>606144975.342393</v>
      </c>
      <c r="E158" s="9">
        <v>1755122285.3535352</v>
      </c>
      <c r="F158" s="9">
        <v>1902763942.8266597</v>
      </c>
      <c r="G158" s="9">
        <v>0</v>
      </c>
      <c r="H158" s="9">
        <v>0</v>
      </c>
      <c r="I158" s="9">
        <v>380552788.56533194</v>
      </c>
      <c r="J158" s="9">
        <v>350468318.0977469</v>
      </c>
      <c r="K158" s="9">
        <v>1726273.1226267815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0" t="inlineStr">
        <is>
          <t xml:space="preserve">ZERO_RESIDUAL_NO_SALE</t>
        </is>
      </c>
      <c r="U158" s="9">
        <f>C158-D158-I158-K158-Q158+S158</f>
        <v>3275607166.492236</v>
      </c>
      <c r="V158" s="9">
        <v>0</v>
      </c>
      <c r="W158" s="9">
        <v>0</v>
      </c>
      <c r="X158" s="9">
        <f>V158-W158</f>
        <v>0</v>
      </c>
    </row>
    <row r="159">
      <c r="A159" s="0" t="inlineStr">
        <is>
          <t xml:space="preserve">VG-010</t>
        </is>
      </c>
      <c r="B159" s="23">
        <v>13</v>
      </c>
      <c r="C159" s="9">
        <v>4285138157.980025</v>
      </c>
      <c r="D159" s="9">
        <v>618267874.8492409</v>
      </c>
      <c r="E159" s="9">
        <v>1755122285.3535352</v>
      </c>
      <c r="F159" s="9">
        <v>1911747997.7772489</v>
      </c>
      <c r="G159" s="9">
        <v>0</v>
      </c>
      <c r="H159" s="9">
        <v>0</v>
      </c>
      <c r="I159" s="9">
        <v>382349599.5554498</v>
      </c>
      <c r="J159" s="9">
        <v>352203136.2723308</v>
      </c>
      <c r="K159" s="9">
        <v>1734818.174583912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0" t="inlineStr">
        <is>
          <t xml:space="preserve">ZERO_RESIDUAL_NO_SALE</t>
        </is>
      </c>
      <c r="U159" s="9">
        <f>C159-D159-I159-K159-Q159+S159</f>
        <v>3282785865.40075</v>
      </c>
      <c r="V159" s="9">
        <v>0</v>
      </c>
      <c r="W159" s="9">
        <v>0</v>
      </c>
      <c r="X159" s="9">
        <f>V159-W159</f>
        <v>0</v>
      </c>
    </row>
    <row r="160">
      <c r="A160" s="0" t="inlineStr">
        <is>
          <t xml:space="preserve">VG-010</t>
        </is>
      </c>
      <c r="B160" s="23">
        <v>14</v>
      </c>
      <c r="C160" s="9">
        <v>4306349591.862027</v>
      </c>
      <c r="D160" s="9">
        <v>630633232.3462259</v>
      </c>
      <c r="E160" s="9">
        <v>1755122285.3535352</v>
      </c>
      <c r="F160" s="9">
        <v>1920594074.1622663</v>
      </c>
      <c r="G160" s="9">
        <v>0</v>
      </c>
      <c r="H160" s="9">
        <v>0</v>
      </c>
      <c r="I160" s="9">
        <v>384118814.83245325</v>
      </c>
      <c r="J160" s="9">
        <v>353946541.79687893</v>
      </c>
      <c r="K160" s="9">
        <v>1743405.5245481133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0" t="inlineStr">
        <is>
          <t xml:space="preserve">ZERO_RESIDUAL_NO_SALE</t>
        </is>
      </c>
      <c r="U160" s="9">
        <f>C160-D160-I160-K160-Q160+S160</f>
        <v>3289854139.1588</v>
      </c>
      <c r="V160" s="9">
        <v>0</v>
      </c>
      <c r="W160" s="9">
        <v>0</v>
      </c>
      <c r="X160" s="9">
        <f>V160-W160</f>
        <v>0</v>
      </c>
    </row>
    <row r="161">
      <c r="A161" s="0" t="inlineStr">
        <is>
          <t xml:space="preserve">VG-010</t>
        </is>
      </c>
      <c r="B161" s="23">
        <v>15</v>
      </c>
      <c r="C161" s="9">
        <v>4327666022.341744</v>
      </c>
      <c r="D161" s="9">
        <v>643245896.9931502</v>
      </c>
      <c r="E161" s="9">
        <v>1755122285.3535352</v>
      </c>
      <c r="F161" s="9">
        <v>1929297839.995059</v>
      </c>
      <c r="G161" s="9">
        <v>0</v>
      </c>
      <c r="H161" s="9">
        <v>0</v>
      </c>
      <c r="I161" s="9">
        <v>385859567.9990118</v>
      </c>
      <c r="J161" s="9">
        <v>0</v>
      </c>
      <c r="K161" s="9">
        <v>-353946541.79687893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353946541.79687893</v>
      </c>
      <c r="T161" s="0" t="inlineStr">
        <is>
          <t xml:space="preserve">ZERO_RESIDUAL_NO_SALE</t>
        </is>
      </c>
      <c r="U161" s="9">
        <f>C161-D161-I161-K161-Q161+S161</f>
        <v>3652507099.146461</v>
      </c>
      <c r="V161" s="9">
        <v>0</v>
      </c>
      <c r="W161" s="9">
        <v>0</v>
      </c>
      <c r="X161" s="9">
        <f>V161-W161</f>
        <v>0</v>
      </c>
    </row>
    <row r="162">
      <c r="A162" s="0" t="inlineStr">
        <is>
          <t xml:space="preserve">VG-011</t>
        </is>
      </c>
      <c r="B162" s="23">
        <v>0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26619875000</v>
      </c>
      <c r="M162" s="9">
        <v>24301693181.81818</v>
      </c>
      <c r="N162" s="9">
        <v>2318181818.181821</v>
      </c>
      <c r="O162" s="9">
        <v>25500000000</v>
      </c>
      <c r="P162" s="9">
        <v>1119875000</v>
      </c>
      <c r="Q162" s="9">
        <v>0</v>
      </c>
      <c r="R162" s="9">
        <v>0</v>
      </c>
      <c r="S162" s="9">
        <v>0</v>
      </c>
      <c r="T162" s="0" t="inlineStr">
        <is>
          <t xml:space="preserve">ZERO_RESIDUAL_NO_SALE</t>
        </is>
      </c>
      <c r="U162" s="9">
        <f>C162-D162-I162-K162-Q162+S162</f>
        <v>0</v>
      </c>
      <c r="V162" s="9">
        <v>26619875000</v>
      </c>
      <c r="W162" s="9">
        <v>26619875000</v>
      </c>
      <c r="X162" s="9">
        <f>V162-W162</f>
        <v>0</v>
      </c>
    </row>
    <row r="163">
      <c r="A163" s="0" t="inlineStr">
        <is>
          <t xml:space="preserve">VG-011</t>
        </is>
      </c>
      <c r="B163" s="23">
        <v>1</v>
      </c>
      <c r="C163" s="9">
        <v>3768464160.0000005</v>
      </c>
      <c r="D163" s="9">
        <v>450000000</v>
      </c>
      <c r="E163" s="9">
        <v>1620112878.7878788</v>
      </c>
      <c r="F163" s="9">
        <v>1698351281.2121217</v>
      </c>
      <c r="G163" s="9">
        <v>0</v>
      </c>
      <c r="H163" s="9">
        <v>0</v>
      </c>
      <c r="I163" s="9">
        <v>339670256.24242437</v>
      </c>
      <c r="J163" s="9">
        <v>309736780.27397263</v>
      </c>
      <c r="K163" s="9">
        <v>309736780.27397263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0" t="inlineStr">
        <is>
          <t xml:space="preserve">ZERO_RESIDUAL_NO_SALE</t>
        </is>
      </c>
      <c r="U163" s="9">
        <f>C163-D163-I163-K163-Q163+S163</f>
        <v>2669057123.4836035</v>
      </c>
      <c r="V163" s="9">
        <v>0</v>
      </c>
      <c r="W163" s="9">
        <v>0</v>
      </c>
      <c r="X163" s="9">
        <f>V163-W163</f>
        <v>0</v>
      </c>
    </row>
    <row r="164">
      <c r="A164" s="0" t="inlineStr">
        <is>
          <t xml:space="preserve">VG-011</t>
        </is>
      </c>
      <c r="B164" s="23">
        <v>2</v>
      </c>
      <c r="C164" s="9">
        <v>3787118057.5920005</v>
      </c>
      <c r="D164" s="9">
        <v>459000000</v>
      </c>
      <c r="E164" s="9">
        <v>1620112878.7878788</v>
      </c>
      <c r="F164" s="9">
        <v>1708005178.8041217</v>
      </c>
      <c r="G164" s="9">
        <v>0</v>
      </c>
      <c r="H164" s="9">
        <v>0</v>
      </c>
      <c r="I164" s="9">
        <v>341601035.7608244</v>
      </c>
      <c r="J164" s="9">
        <v>311269977.3363288</v>
      </c>
      <c r="K164" s="9">
        <v>1533197.062356174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0" t="inlineStr">
        <is>
          <t xml:space="preserve">ZERO_RESIDUAL_NO_SALE</t>
        </is>
      </c>
      <c r="U164" s="9">
        <f>C164-D164-I164-K164-Q164+S164</f>
        <v>2984983824.7688203</v>
      </c>
      <c r="V164" s="9">
        <v>0</v>
      </c>
      <c r="W164" s="9">
        <v>0</v>
      </c>
      <c r="X164" s="9">
        <f>V164-W164</f>
        <v>0</v>
      </c>
    </row>
    <row r="165">
      <c r="A165" s="0" t="inlineStr">
        <is>
          <t xml:space="preserve">VG-011</t>
        </is>
      </c>
      <c r="B165" s="23">
        <v>3</v>
      </c>
      <c r="C165" s="9">
        <v>3805864291.9770813</v>
      </c>
      <c r="D165" s="9">
        <v>468180000</v>
      </c>
      <c r="E165" s="9">
        <v>1620112878.7878788</v>
      </c>
      <c r="F165" s="9">
        <v>1717571413.1892025</v>
      </c>
      <c r="G165" s="9">
        <v>0</v>
      </c>
      <c r="H165" s="9">
        <v>0</v>
      </c>
      <c r="I165" s="9">
        <v>343514282.6378405</v>
      </c>
      <c r="J165" s="9">
        <v>312810763.7241437</v>
      </c>
      <c r="K165" s="9">
        <v>1540786.3878148794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0" t="inlineStr">
        <is>
          <t xml:space="preserve">ZERO_RESIDUAL_NO_SALE</t>
        </is>
      </c>
      <c r="U165" s="9">
        <f>C165-D165-I165-K165-Q165+S165</f>
        <v>2992629222.951426</v>
      </c>
      <c r="V165" s="9">
        <v>0</v>
      </c>
      <c r="W165" s="9">
        <v>0</v>
      </c>
      <c r="X165" s="9">
        <f>V165-W165</f>
        <v>0</v>
      </c>
    </row>
    <row r="166">
      <c r="A166" s="0" t="inlineStr">
        <is>
          <t xml:space="preserve">VG-011</t>
        </is>
      </c>
      <c r="B166" s="23">
        <v>4</v>
      </c>
      <c r="C166" s="9">
        <v>3824703320.222368</v>
      </c>
      <c r="D166" s="9">
        <v>477543600.00000006</v>
      </c>
      <c r="E166" s="9">
        <v>1620112878.7878788</v>
      </c>
      <c r="F166" s="9">
        <v>1727046841.434489</v>
      </c>
      <c r="G166" s="9">
        <v>0</v>
      </c>
      <c r="H166" s="9">
        <v>0</v>
      </c>
      <c r="I166" s="9">
        <v>345409368.28689784</v>
      </c>
      <c r="J166" s="9">
        <v>314359177.0045782</v>
      </c>
      <c r="K166" s="9">
        <v>1548413.2804344893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0" t="inlineStr">
        <is>
          <t xml:space="preserve">ZERO_RESIDUAL_NO_SALE</t>
        </is>
      </c>
      <c r="U166" s="9">
        <f>C166-D166-I166-K166-Q166+S166</f>
        <v>3000201938.6550355</v>
      </c>
      <c r="V166" s="9">
        <v>0</v>
      </c>
      <c r="W166" s="9">
        <v>0</v>
      </c>
      <c r="X166" s="9">
        <f>V166-W166</f>
        <v>0</v>
      </c>
    </row>
    <row r="167">
      <c r="A167" s="0" t="inlineStr">
        <is>
          <t xml:space="preserve">VG-011</t>
        </is>
      </c>
      <c r="B167" s="23">
        <v>5</v>
      </c>
      <c r="C167" s="9">
        <v>3843635601.657468</v>
      </c>
      <c r="D167" s="9">
        <v>487094472</v>
      </c>
      <c r="E167" s="9">
        <v>1620112878.7878788</v>
      </c>
      <c r="F167" s="9">
        <v>1736428250.869589</v>
      </c>
      <c r="G167" s="9">
        <v>0</v>
      </c>
      <c r="H167" s="9">
        <v>0</v>
      </c>
      <c r="I167" s="9">
        <v>347285650.17391783</v>
      </c>
      <c r="J167" s="9">
        <v>315915254.9307508</v>
      </c>
      <c r="K167" s="9">
        <v>1556077.926172614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121508465.9090909</v>
      </c>
      <c r="R167" s="9">
        <v>0</v>
      </c>
      <c r="S167" s="9">
        <v>0</v>
      </c>
      <c r="T167" s="0" t="inlineStr">
        <is>
          <t xml:space="preserve">ZERO_RESIDUAL_NO_SALE</t>
        </is>
      </c>
      <c r="U167" s="9">
        <f>C167-D167-I167-K167-Q167+S167</f>
        <v>2886190935.6482863</v>
      </c>
      <c r="V167" s="9">
        <v>0</v>
      </c>
      <c r="W167" s="9">
        <v>0</v>
      </c>
      <c r="X167" s="9">
        <f>V167-W167</f>
        <v>0</v>
      </c>
    </row>
    <row r="168">
      <c r="A168" s="0" t="inlineStr">
        <is>
          <t xml:space="preserve">VG-011</t>
        </is>
      </c>
      <c r="B168" s="23">
        <v>6</v>
      </c>
      <c r="C168" s="9">
        <v>3862661597.8856726</v>
      </c>
      <c r="D168" s="9">
        <v>496836361.44</v>
      </c>
      <c r="E168" s="9">
        <v>1620112878.7878788</v>
      </c>
      <c r="F168" s="9">
        <v>1745712357.6577938</v>
      </c>
      <c r="G168" s="9">
        <v>0</v>
      </c>
      <c r="H168" s="9">
        <v>0</v>
      </c>
      <c r="I168" s="9">
        <v>349142471.53155875</v>
      </c>
      <c r="J168" s="9">
        <v>317479035.442658</v>
      </c>
      <c r="K168" s="9">
        <v>1563780.51190722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0" t="inlineStr">
        <is>
          <t xml:space="preserve">ZERO_RESIDUAL_NO_SALE</t>
        </is>
      </c>
      <c r="U168" s="9">
        <f>C168-D168-I168-K168-Q168+S168</f>
        <v>3015118984.402207</v>
      </c>
      <c r="V168" s="9">
        <v>0</v>
      </c>
      <c r="W168" s="9">
        <v>0</v>
      </c>
      <c r="X168" s="9">
        <f>V168-W168</f>
        <v>0</v>
      </c>
    </row>
    <row r="169">
      <c r="A169" s="0" t="inlineStr">
        <is>
          <t xml:space="preserve">VG-011</t>
        </is>
      </c>
      <c r="B169" s="23">
        <v>7</v>
      </c>
      <c r="C169" s="9">
        <v>3881781772.795207</v>
      </c>
      <c r="D169" s="9">
        <v>506773088.66880006</v>
      </c>
      <c r="E169" s="9">
        <v>1620112878.7878788</v>
      </c>
      <c r="F169" s="9">
        <v>1754895805.3385284</v>
      </c>
      <c r="G169" s="9">
        <v>0</v>
      </c>
      <c r="H169" s="9">
        <v>0</v>
      </c>
      <c r="I169" s="9">
        <v>350979161.0677057</v>
      </c>
      <c r="J169" s="9">
        <v>319050556.6680992</v>
      </c>
      <c r="K169" s="9">
        <v>1571521.2254412174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0" t="inlineStr">
        <is>
          <t xml:space="preserve">ZERO_RESIDUAL_NO_SALE</t>
        </is>
      </c>
      <c r="U169" s="9">
        <f>C169-D169-I169-K169-Q169+S169</f>
        <v>3022458001.8332605</v>
      </c>
      <c r="V169" s="9">
        <v>0</v>
      </c>
      <c r="W169" s="9">
        <v>0</v>
      </c>
      <c r="X169" s="9">
        <f>V169-W169</f>
        <v>0</v>
      </c>
    </row>
    <row r="170">
      <c r="A170" s="0" t="inlineStr">
        <is>
          <t xml:space="preserve">VG-011</t>
        </is>
      </c>
      <c r="B170" s="23">
        <v>8</v>
      </c>
      <c r="C170" s="9">
        <v>3900996592.5705433</v>
      </c>
      <c r="D170" s="9">
        <v>516908550.44217604</v>
      </c>
      <c r="E170" s="9">
        <v>1620112878.7878788</v>
      </c>
      <c r="F170" s="9">
        <v>1763975163.3404887</v>
      </c>
      <c r="G170" s="9">
        <v>0</v>
      </c>
      <c r="H170" s="9">
        <v>0</v>
      </c>
      <c r="I170" s="9">
        <v>352795032.66809773</v>
      </c>
      <c r="J170" s="9">
        <v>320629856.92360634</v>
      </c>
      <c r="K170" s="9">
        <v>1579300.2555071115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0" t="inlineStr">
        <is>
          <t xml:space="preserve">ZERO_RESIDUAL_NO_SALE</t>
        </is>
      </c>
      <c r="U170" s="9">
        <f>C170-D170-I170-K170-Q170+S170</f>
        <v>3029713709.204763</v>
      </c>
      <c r="V170" s="9">
        <v>0</v>
      </c>
      <c r="W170" s="9">
        <v>0</v>
      </c>
      <c r="X170" s="9">
        <f>V170-W170</f>
        <v>0</v>
      </c>
    </row>
    <row r="171">
      <c r="A171" s="0" t="inlineStr">
        <is>
          <t xml:space="preserve">VG-011</t>
        </is>
      </c>
      <c r="B171" s="23">
        <v>9</v>
      </c>
      <c r="C171" s="9">
        <v>3920306525.7037673</v>
      </c>
      <c r="D171" s="9">
        <v>527246721.4510196</v>
      </c>
      <c r="E171" s="9">
        <v>1620112878.7878788</v>
      </c>
      <c r="F171" s="9">
        <v>1772946925.4648688</v>
      </c>
      <c r="G171" s="9">
        <v>0</v>
      </c>
      <c r="H171" s="9">
        <v>0</v>
      </c>
      <c r="I171" s="9">
        <v>354589385.09297377</v>
      </c>
      <c r="J171" s="9">
        <v>322216974.71537817</v>
      </c>
      <c r="K171" s="9">
        <v>1587117.7917718291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0" t="inlineStr">
        <is>
          <t xml:space="preserve">ZERO_RESIDUAL_NO_SALE</t>
        </is>
      </c>
      <c r="U171" s="9">
        <f>C171-D171-I171-K171-Q171+S171</f>
        <v>3036883301.368002</v>
      </c>
      <c r="V171" s="9">
        <v>0</v>
      </c>
      <c r="W171" s="9">
        <v>0</v>
      </c>
      <c r="X171" s="9">
        <f>V171-W171</f>
        <v>0</v>
      </c>
    </row>
    <row r="172">
      <c r="A172" s="0" t="inlineStr">
        <is>
          <t xml:space="preserve">VG-011</t>
        </is>
      </c>
      <c r="B172" s="23">
        <v>10</v>
      </c>
      <c r="C172" s="9">
        <v>3939712043.0060005</v>
      </c>
      <c r="D172" s="9">
        <v>537791655.8800399</v>
      </c>
      <c r="E172" s="9">
        <v>1620112878.7878788</v>
      </c>
      <c r="F172" s="9">
        <v>1781807508.3380816</v>
      </c>
      <c r="G172" s="9">
        <v>0</v>
      </c>
      <c r="H172" s="9">
        <v>0</v>
      </c>
      <c r="I172" s="9">
        <v>356361501.66761637</v>
      </c>
      <c r="J172" s="9">
        <v>323811948.74021924</v>
      </c>
      <c r="K172" s="9">
        <v>1594974.0248410702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121508465.9090909</v>
      </c>
      <c r="R172" s="9">
        <v>0</v>
      </c>
      <c r="S172" s="9">
        <v>0</v>
      </c>
      <c r="T172" s="0" t="inlineStr">
        <is>
          <t xml:space="preserve">ZERO_RESIDUAL_NO_SALE</t>
        </is>
      </c>
      <c r="U172" s="9">
        <f>C172-D172-I172-K172-Q172+S172</f>
        <v>2922455445.524412</v>
      </c>
      <c r="V172" s="9">
        <v>0</v>
      </c>
      <c r="W172" s="9">
        <v>0</v>
      </c>
      <c r="X172" s="9">
        <f>V172-W172</f>
        <v>0</v>
      </c>
    </row>
    <row r="173">
      <c r="A173" s="0" t="inlineStr">
        <is>
          <t xml:space="preserve">VG-011</t>
        </is>
      </c>
      <c r="B173" s="23">
        <v>11</v>
      </c>
      <c r="C173" s="9">
        <v>3959213617.6188807</v>
      </c>
      <c r="D173" s="9">
        <v>548547488.9976408</v>
      </c>
      <c r="E173" s="9">
        <v>1620112878.7878788</v>
      </c>
      <c r="F173" s="9">
        <v>1790553249.833361</v>
      </c>
      <c r="G173" s="9">
        <v>0</v>
      </c>
      <c r="H173" s="9">
        <v>0</v>
      </c>
      <c r="I173" s="9">
        <v>358110649.9666722</v>
      </c>
      <c r="J173" s="9">
        <v>325414817.8864834</v>
      </c>
      <c r="K173" s="9">
        <v>1602869.1462641358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0" t="inlineStr">
        <is>
          <t xml:space="preserve">ZERO_RESIDUAL_NO_SALE</t>
        </is>
      </c>
      <c r="U173" s="9">
        <f>C173-D173-I173-K173-Q173+S173</f>
        <v>3050952609.5083036</v>
      </c>
      <c r="V173" s="9">
        <v>0</v>
      </c>
      <c r="W173" s="9">
        <v>0</v>
      </c>
      <c r="X173" s="9">
        <f>V173-W173</f>
        <v>0</v>
      </c>
    </row>
    <row r="174">
      <c r="A174" s="0" t="inlineStr">
        <is>
          <t xml:space="preserve">VG-011</t>
        </is>
      </c>
      <c r="B174" s="23">
        <v>12</v>
      </c>
      <c r="C174" s="9">
        <v>3978811725.0260935</v>
      </c>
      <c r="D174" s="9">
        <v>559518438.7775936</v>
      </c>
      <c r="E174" s="9">
        <v>1620112878.7878788</v>
      </c>
      <c r="F174" s="9">
        <v>1799180407.460621</v>
      </c>
      <c r="G174" s="9">
        <v>0</v>
      </c>
      <c r="H174" s="9">
        <v>0</v>
      </c>
      <c r="I174" s="9">
        <v>359836081.49212426</v>
      </c>
      <c r="J174" s="9">
        <v>327025621.2350214</v>
      </c>
      <c r="K174" s="9">
        <v>1610803.348538041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0" t="inlineStr">
        <is>
          <t xml:space="preserve">ZERO_RESIDUAL_NO_SALE</t>
        </is>
      </c>
      <c r="U174" s="9">
        <f>C174-D174-I174-K174-Q174+S174</f>
        <v>3057846401.407838</v>
      </c>
      <c r="V174" s="9">
        <v>0</v>
      </c>
      <c r="W174" s="9">
        <v>0</v>
      </c>
      <c r="X174" s="9">
        <f>V174-W174</f>
        <v>0</v>
      </c>
    </row>
    <row r="175">
      <c r="A175" s="0" t="inlineStr">
        <is>
          <t xml:space="preserve">VG-011</t>
        </is>
      </c>
      <c r="B175" s="23">
        <v>13</v>
      </c>
      <c r="C175" s="9">
        <v>3998506843.064973</v>
      </c>
      <c r="D175" s="9">
        <v>570708807.5531455</v>
      </c>
      <c r="E175" s="9">
        <v>1620112878.7878788</v>
      </c>
      <c r="F175" s="9">
        <v>1807685156.7239487</v>
      </c>
      <c r="G175" s="9">
        <v>0</v>
      </c>
      <c r="H175" s="9">
        <v>0</v>
      </c>
      <c r="I175" s="9">
        <v>361537031.34478974</v>
      </c>
      <c r="J175" s="9">
        <v>328644398.06013477</v>
      </c>
      <c r="K175" s="9">
        <v>1618776.825113356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0" t="inlineStr">
        <is>
          <t xml:space="preserve">ZERO_RESIDUAL_NO_SALE</t>
        </is>
      </c>
      <c r="U175" s="9">
        <f>C175-D175-I175-K175-Q175+S175</f>
        <v>3064642227.3419247</v>
      </c>
      <c r="V175" s="9">
        <v>0</v>
      </c>
      <c r="W175" s="9">
        <v>0</v>
      </c>
      <c r="X175" s="9">
        <f>V175-W175</f>
        <v>0</v>
      </c>
    </row>
    <row r="176">
      <c r="A176" s="0" t="inlineStr">
        <is>
          <t xml:space="preserve">VG-011</t>
        </is>
      </c>
      <c r="B176" s="23">
        <v>14</v>
      </c>
      <c r="C176" s="9">
        <v>4018299451.938145</v>
      </c>
      <c r="D176" s="9">
        <v>582122983.7042085</v>
      </c>
      <c r="E176" s="9">
        <v>1620112878.7878788</v>
      </c>
      <c r="F176" s="9">
        <v>1816063589.446058</v>
      </c>
      <c r="G176" s="9">
        <v>0</v>
      </c>
      <c r="H176" s="9">
        <v>0</v>
      </c>
      <c r="I176" s="9">
        <v>363212717.88921165</v>
      </c>
      <c r="J176" s="9">
        <v>330271187.83053243</v>
      </c>
      <c r="K176" s="9">
        <v>1626789.7703976631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0" t="inlineStr">
        <is>
          <t xml:space="preserve">ZERO_RESIDUAL_NO_SALE</t>
        </is>
      </c>
      <c r="U176" s="9">
        <f>C176-D176-I176-K176-Q176+S176</f>
        <v>3071336960.5743275</v>
      </c>
      <c r="V176" s="9">
        <v>0</v>
      </c>
      <c r="W176" s="9">
        <v>0</v>
      </c>
      <c r="X176" s="9">
        <f>V176-W176</f>
        <v>0</v>
      </c>
    </row>
    <row r="177">
      <c r="A177" s="0" t="inlineStr">
        <is>
          <t xml:space="preserve">VG-011</t>
        </is>
      </c>
      <c r="B177" s="23">
        <v>15</v>
      </c>
      <c r="C177" s="9">
        <v>4038190034.2252393</v>
      </c>
      <c r="D177" s="9">
        <v>593765443.3782926</v>
      </c>
      <c r="E177" s="9">
        <v>1620112878.7878788</v>
      </c>
      <c r="F177" s="9">
        <v>1824311712.059068</v>
      </c>
      <c r="G177" s="9">
        <v>0</v>
      </c>
      <c r="H177" s="9">
        <v>0</v>
      </c>
      <c r="I177" s="9">
        <v>364862342.4118136</v>
      </c>
      <c r="J177" s="9">
        <v>0</v>
      </c>
      <c r="K177" s="9">
        <v>-330271187.83053243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330271187.83053243</v>
      </c>
      <c r="T177" s="0" t="inlineStr">
        <is>
          <t xml:space="preserve">ZERO_RESIDUAL_NO_SALE</t>
        </is>
      </c>
      <c r="U177" s="9">
        <f>C177-D177-I177-K177-Q177+S177</f>
        <v>3409833436.2656655</v>
      </c>
      <c r="V177" s="9">
        <v>0</v>
      </c>
      <c r="W177" s="9">
        <v>0</v>
      </c>
      <c r="X177" s="9">
        <f>V177-W177</f>
        <v>0</v>
      </c>
    </row>
    <row r="178">
      <c r="A178" s="0" t="inlineStr">
        <is>
          <t xml:space="preserve">VG-012</t>
        </is>
      </c>
      <c r="B178" s="23">
        <v>0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25510713541.666668</v>
      </c>
      <c r="M178" s="9">
        <v>23289122632.575756</v>
      </c>
      <c r="N178" s="9">
        <v>2221590909.090911</v>
      </c>
      <c r="O178" s="9">
        <v>24437500000</v>
      </c>
      <c r="P178" s="9">
        <v>1073213541.6666666</v>
      </c>
      <c r="Q178" s="9">
        <v>0</v>
      </c>
      <c r="R178" s="9">
        <v>0</v>
      </c>
      <c r="S178" s="9">
        <v>0</v>
      </c>
      <c r="T178" s="0" t="inlineStr">
        <is>
          <t xml:space="preserve">ZERO_RESIDUAL_NO_SALE</t>
        </is>
      </c>
      <c r="U178" s="9">
        <f>C178-D178-I178-K178-Q178+S178</f>
        <v>0</v>
      </c>
      <c r="V178" s="9">
        <v>25510713541.666668</v>
      </c>
      <c r="W178" s="9">
        <v>25510713541.666668</v>
      </c>
      <c r="X178" s="9">
        <f>V178-W178</f>
        <v>0</v>
      </c>
    </row>
    <row r="179">
      <c r="A179" s="0" t="inlineStr">
        <is>
          <t xml:space="preserve">VG-012</t>
        </is>
      </c>
      <c r="B179" s="23">
        <v>1</v>
      </c>
      <c r="C179" s="9">
        <v>3494946599.9999995</v>
      </c>
      <c r="D179" s="9">
        <v>431250000</v>
      </c>
      <c r="E179" s="9">
        <v>1552608175.5050504</v>
      </c>
      <c r="F179" s="9">
        <v>1511088424.494949</v>
      </c>
      <c r="G179" s="9">
        <v>0</v>
      </c>
      <c r="H179" s="9">
        <v>0</v>
      </c>
      <c r="I179" s="9">
        <v>302217684.89898986</v>
      </c>
      <c r="J179" s="9">
        <v>287255884.9315068</v>
      </c>
      <c r="K179" s="9">
        <v>287255884.9315068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0" t="inlineStr">
        <is>
          <t xml:space="preserve">ZERO_RESIDUAL_NO_SALE</t>
        </is>
      </c>
      <c r="U179" s="9">
        <f>C179-D179-I179-K179-Q179+S179</f>
        <v>2474223030.169503</v>
      </c>
      <c r="V179" s="9">
        <v>0</v>
      </c>
      <c r="W179" s="9">
        <v>0</v>
      </c>
      <c r="X179" s="9">
        <f>V179-W179</f>
        <v>0</v>
      </c>
    </row>
    <row r="180">
      <c r="A180" s="0" t="inlineStr">
        <is>
          <t xml:space="preserve">VG-012</t>
        </is>
      </c>
      <c r="B180" s="23">
        <v>2</v>
      </c>
      <c r="C180" s="9">
        <v>3512246585.6699996</v>
      </c>
      <c r="D180" s="9">
        <v>439875000</v>
      </c>
      <c r="E180" s="9">
        <v>1552608175.5050504</v>
      </c>
      <c r="F180" s="9">
        <v>1519763410.1649492</v>
      </c>
      <c r="G180" s="9">
        <v>0</v>
      </c>
      <c r="H180" s="9">
        <v>0</v>
      </c>
      <c r="I180" s="9">
        <v>303952682.03298986</v>
      </c>
      <c r="J180" s="9">
        <v>288677801.5619178</v>
      </c>
      <c r="K180" s="9">
        <v>1421916.6304109693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0" t="inlineStr">
        <is>
          <t xml:space="preserve">ZERO_RESIDUAL_NO_SALE</t>
        </is>
      </c>
      <c r="U180" s="9">
        <f>C180-D180-I180-K180-Q180+S180</f>
        <v>2766996987.0065985</v>
      </c>
      <c r="V180" s="9">
        <v>0</v>
      </c>
      <c r="W180" s="9">
        <v>0</v>
      </c>
      <c r="X180" s="9">
        <f>V180-W180</f>
        <v>0</v>
      </c>
    </row>
    <row r="181">
      <c r="A181" s="0" t="inlineStr">
        <is>
          <t xml:space="preserve">VG-012</t>
        </is>
      </c>
      <c r="B181" s="23">
        <v>3</v>
      </c>
      <c r="C181" s="9">
        <v>3529632206.2690663</v>
      </c>
      <c r="D181" s="9">
        <v>448672500</v>
      </c>
      <c r="E181" s="9">
        <v>1552608175.5050504</v>
      </c>
      <c r="F181" s="9">
        <v>1528351530.764016</v>
      </c>
      <c r="G181" s="9">
        <v>0</v>
      </c>
      <c r="H181" s="9">
        <v>0</v>
      </c>
      <c r="I181" s="9">
        <v>305670306.1528032</v>
      </c>
      <c r="J181" s="9">
        <v>290106756.6796493</v>
      </c>
      <c r="K181" s="9">
        <v>1428955.1177315116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0" t="inlineStr">
        <is>
          <t xml:space="preserve">ZERO_RESIDUAL_NO_SALE</t>
        </is>
      </c>
      <c r="U181" s="9">
        <f>C181-D181-I181-K181-Q181+S181</f>
        <v>2773860444.998532</v>
      </c>
      <c r="V181" s="9">
        <v>0</v>
      </c>
      <c r="W181" s="9">
        <v>0</v>
      </c>
      <c r="X181" s="9">
        <f>V181-W181</f>
        <v>0</v>
      </c>
    </row>
    <row r="182">
      <c r="A182" s="0" t="inlineStr">
        <is>
          <t xml:space="preserve">VG-012</t>
        </is>
      </c>
      <c r="B182" s="23">
        <v>4</v>
      </c>
      <c r="C182" s="9">
        <v>3547103885.6900983</v>
      </c>
      <c r="D182" s="9">
        <v>457645950.00000006</v>
      </c>
      <c r="E182" s="9">
        <v>1552608175.5050504</v>
      </c>
      <c r="F182" s="9">
        <v>1536849760.1850479</v>
      </c>
      <c r="G182" s="9">
        <v>0</v>
      </c>
      <c r="H182" s="9">
        <v>0</v>
      </c>
      <c r="I182" s="9">
        <v>307369952.0370096</v>
      </c>
      <c r="J182" s="9">
        <v>291542785.12521356</v>
      </c>
      <c r="K182" s="9">
        <v>1436028.44556427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0" t="inlineStr">
        <is>
          <t xml:space="preserve">ZERO_RESIDUAL_NO_SALE</t>
        </is>
      </c>
      <c r="U182" s="9">
        <f>C182-D182-I182-K182-Q182+S182</f>
        <v>2780651955.2075243</v>
      </c>
      <c r="V182" s="9">
        <v>0</v>
      </c>
      <c r="W182" s="9">
        <v>0</v>
      </c>
      <c r="X182" s="9">
        <f>V182-W182</f>
        <v>0</v>
      </c>
    </row>
    <row r="183">
      <c r="A183" s="0" t="inlineStr">
        <is>
          <t xml:space="preserve">VG-012</t>
        </is>
      </c>
      <c r="B183" s="23">
        <v>5</v>
      </c>
      <c r="C183" s="9">
        <v>3564662049.924264</v>
      </c>
      <c r="D183" s="9">
        <v>466798869</v>
      </c>
      <c r="E183" s="9">
        <v>1552608175.5050504</v>
      </c>
      <c r="F183" s="9">
        <v>1545255005.4192135</v>
      </c>
      <c r="G183" s="9">
        <v>0</v>
      </c>
      <c r="H183" s="9">
        <v>0</v>
      </c>
      <c r="I183" s="9">
        <v>309051001.0838427</v>
      </c>
      <c r="J183" s="9">
        <v>292985921.91158336</v>
      </c>
      <c r="K183" s="9">
        <v>1443136.7863698006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116445613.16287878</v>
      </c>
      <c r="R183" s="9">
        <v>0</v>
      </c>
      <c r="S183" s="9">
        <v>0</v>
      </c>
      <c r="T183" s="0" t="inlineStr">
        <is>
          <t xml:space="preserve">ZERO_RESIDUAL_NO_SALE</t>
        </is>
      </c>
      <c r="U183" s="9">
        <f>C183-D183-I183-K183-Q183+S183</f>
        <v>2670923429.8911724</v>
      </c>
      <c r="V183" s="9">
        <v>0</v>
      </c>
      <c r="W183" s="9">
        <v>0</v>
      </c>
      <c r="X183" s="9">
        <f>V183-W183</f>
        <v>0</v>
      </c>
    </row>
    <row r="184">
      <c r="A184" s="0" t="inlineStr">
        <is>
          <t xml:space="preserve">VG-012</t>
        </is>
      </c>
      <c r="B184" s="23">
        <v>6</v>
      </c>
      <c r="C184" s="9">
        <v>3582307127.071389</v>
      </c>
      <c r="D184" s="9">
        <v>476134846.38</v>
      </c>
      <c r="E184" s="9">
        <v>1552608175.5050504</v>
      </c>
      <c r="F184" s="9">
        <v>1553564105.1863387</v>
      </c>
      <c r="G184" s="9">
        <v>0</v>
      </c>
      <c r="H184" s="9">
        <v>0</v>
      </c>
      <c r="I184" s="9">
        <v>310712821.03726774</v>
      </c>
      <c r="J184" s="9">
        <v>294436202.2250457</v>
      </c>
      <c r="K184" s="9">
        <v>1450280.313462317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0" t="inlineStr">
        <is>
          <t xml:space="preserve">ZERO_RESIDUAL_NO_SALE</t>
        </is>
      </c>
      <c r="U184" s="9">
        <f>C184-D184-I184-K184-Q184+S184</f>
        <v>2794009179.340659</v>
      </c>
      <c r="V184" s="9">
        <v>0</v>
      </c>
      <c r="W184" s="9">
        <v>0</v>
      </c>
      <c r="X184" s="9">
        <f>V184-W184</f>
        <v>0</v>
      </c>
    </row>
    <row r="185">
      <c r="A185" s="0" t="inlineStr">
        <is>
          <t xml:space="preserve">VG-012</t>
        </is>
      </c>
      <c r="B185" s="23">
        <v>7</v>
      </c>
      <c r="C185" s="9">
        <v>3600039547.350393</v>
      </c>
      <c r="D185" s="9">
        <v>485657543.3076</v>
      </c>
      <c r="E185" s="9">
        <v>1552608175.5050504</v>
      </c>
      <c r="F185" s="9">
        <v>1561773828.5377424</v>
      </c>
      <c r="G185" s="9">
        <v>0</v>
      </c>
      <c r="H185" s="9">
        <v>0</v>
      </c>
      <c r="I185" s="9">
        <v>312354765.7075485</v>
      </c>
      <c r="J185" s="9">
        <v>295893661.42605966</v>
      </c>
      <c r="K185" s="9">
        <v>1457459.2010139823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0" t="inlineStr">
        <is>
          <t xml:space="preserve">ZERO_RESIDUAL_NO_SALE</t>
        </is>
      </c>
      <c r="U185" s="9">
        <f>C185-D185-I185-K185-Q185+S185</f>
        <v>2800569779.13423</v>
      </c>
      <c r="V185" s="9">
        <v>0</v>
      </c>
      <c r="W185" s="9">
        <v>0</v>
      </c>
      <c r="X185" s="9">
        <f>V185-W185</f>
        <v>0</v>
      </c>
    </row>
    <row r="186">
      <c r="A186" s="0" t="inlineStr">
        <is>
          <t xml:space="preserve">VG-012</t>
        </is>
      </c>
      <c r="B186" s="23">
        <v>8</v>
      </c>
      <c r="C186" s="9">
        <v>3617859743.109777</v>
      </c>
      <c r="D186" s="9">
        <v>495370694.173752</v>
      </c>
      <c r="E186" s="9">
        <v>1552608175.5050504</v>
      </c>
      <c r="F186" s="9">
        <v>1569880873.4309747</v>
      </c>
      <c r="G186" s="9">
        <v>0</v>
      </c>
      <c r="H186" s="9">
        <v>0</v>
      </c>
      <c r="I186" s="9">
        <v>313976174.68619496</v>
      </c>
      <c r="J186" s="9">
        <v>297358335.0501186</v>
      </c>
      <c r="K186" s="9">
        <v>1464673.6240589619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0" t="inlineStr">
        <is>
          <t xml:space="preserve">ZERO_RESIDUAL_NO_SALE</t>
        </is>
      </c>
      <c r="U186" s="9">
        <f>C186-D186-I186-K186-Q186+S186</f>
        <v>2807048200.6257715</v>
      </c>
      <c r="V186" s="9">
        <v>0</v>
      </c>
      <c r="W186" s="9">
        <v>0</v>
      </c>
      <c r="X186" s="9">
        <f>V186-W186</f>
        <v>0</v>
      </c>
    </row>
    <row r="187">
      <c r="A187" s="0" t="inlineStr">
        <is>
          <t xml:space="preserve">VG-012</t>
        </is>
      </c>
      <c r="B187" s="23">
        <v>9</v>
      </c>
      <c r="C187" s="9">
        <v>3635768148.8381705</v>
      </c>
      <c r="D187" s="9">
        <v>505278108.0572271</v>
      </c>
      <c r="E187" s="9">
        <v>1552608175.5050504</v>
      </c>
      <c r="F187" s="9">
        <v>1577881865.275893</v>
      </c>
      <c r="G187" s="9">
        <v>0</v>
      </c>
      <c r="H187" s="9">
        <v>0</v>
      </c>
      <c r="I187" s="9">
        <v>315576373.0551786</v>
      </c>
      <c r="J187" s="9">
        <v>298830258.80861676</v>
      </c>
      <c r="K187" s="9">
        <v>1471923.7584981322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0" t="inlineStr">
        <is>
          <t xml:space="preserve">ZERO_RESIDUAL_NO_SALE</t>
        </is>
      </c>
      <c r="U187" s="9">
        <f>C187-D187-I187-K187-Q187+S187</f>
        <v>2813441743.9672666</v>
      </c>
      <c r="V187" s="9">
        <v>0</v>
      </c>
      <c r="W187" s="9">
        <v>0</v>
      </c>
      <c r="X187" s="9">
        <f>V187-W187</f>
        <v>0</v>
      </c>
    </row>
    <row r="188">
      <c r="A188" s="0" t="inlineStr">
        <is>
          <t xml:space="preserve">VG-012</t>
        </is>
      </c>
      <c r="B188" s="23">
        <v>10</v>
      </c>
      <c r="C188" s="9">
        <v>3653765201.174919</v>
      </c>
      <c r="D188" s="9">
        <v>515383670.2183716</v>
      </c>
      <c r="E188" s="9">
        <v>1552608175.5050504</v>
      </c>
      <c r="F188" s="9">
        <v>1585773355.4514973</v>
      </c>
      <c r="G188" s="9">
        <v>0</v>
      </c>
      <c r="H188" s="9">
        <v>0</v>
      </c>
      <c r="I188" s="9">
        <v>317154671.0902995</v>
      </c>
      <c r="J188" s="9">
        <v>300309468.58971936</v>
      </c>
      <c r="K188" s="9">
        <v>1479209.7811025977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116445613.16287878</v>
      </c>
      <c r="R188" s="9">
        <v>0</v>
      </c>
      <c r="S188" s="9">
        <v>0</v>
      </c>
      <c r="T188" s="0" t="inlineStr">
        <is>
          <t xml:space="preserve">ZERO_RESIDUAL_NO_SALE</t>
        </is>
      </c>
      <c r="U188" s="9">
        <f>C188-D188-I188-K188-Q188+S188</f>
        <v>2703302036.9222665</v>
      </c>
      <c r="V188" s="9">
        <v>0</v>
      </c>
      <c r="W188" s="9">
        <v>0</v>
      </c>
      <c r="X188" s="9">
        <f>V188-W188</f>
        <v>0</v>
      </c>
    </row>
    <row r="189">
      <c r="A189" s="0" t="inlineStr">
        <is>
          <t xml:space="preserve">VG-012</t>
        </is>
      </c>
      <c r="B189" s="23">
        <v>11</v>
      </c>
      <c r="C189" s="9">
        <v>3671851338.920735</v>
      </c>
      <c r="D189" s="9">
        <v>525691343.6227391</v>
      </c>
      <c r="E189" s="9">
        <v>1552608175.5050504</v>
      </c>
      <c r="F189" s="9">
        <v>1593551819.7929451</v>
      </c>
      <c r="G189" s="9">
        <v>0</v>
      </c>
      <c r="H189" s="9">
        <v>0</v>
      </c>
      <c r="I189" s="9">
        <v>318710363.958589</v>
      </c>
      <c r="J189" s="9">
        <v>301796000.45923847</v>
      </c>
      <c r="K189" s="9">
        <v>1486531.8695191145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0" t="inlineStr">
        <is>
          <t xml:space="preserve">ZERO_RESIDUAL_NO_SALE</t>
        </is>
      </c>
      <c r="U189" s="9">
        <f>C189-D189-I189-K189-Q189+S189</f>
        <v>2825963099.4698873</v>
      </c>
      <c r="V189" s="9">
        <v>0</v>
      </c>
      <c r="W189" s="9">
        <v>0</v>
      </c>
      <c r="X189" s="9">
        <f>V189-W189</f>
        <v>0</v>
      </c>
    </row>
    <row r="190">
      <c r="A190" s="0" t="inlineStr">
        <is>
          <t xml:space="preserve">VG-012</t>
        </is>
      </c>
      <c r="B190" s="23">
        <v>12</v>
      </c>
      <c r="C190" s="9">
        <v>3690027003.0483923</v>
      </c>
      <c r="D190" s="9">
        <v>536205170.4951939</v>
      </c>
      <c r="E190" s="9">
        <v>1552608175.5050504</v>
      </c>
      <c r="F190" s="9">
        <v>1601213657.048148</v>
      </c>
      <c r="G190" s="9">
        <v>0</v>
      </c>
      <c r="H190" s="9">
        <v>0</v>
      </c>
      <c r="I190" s="9">
        <v>320242731.4096296</v>
      </c>
      <c r="J190" s="9">
        <v>303289890.6615117</v>
      </c>
      <c r="K190" s="9">
        <v>1493890.2022732496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>
        <v>0</v>
      </c>
      <c r="T190" s="0" t="inlineStr">
        <is>
          <t xml:space="preserve">ZERO_RESIDUAL_NO_SALE</t>
        </is>
      </c>
      <c r="U190" s="9">
        <f>C190-D190-I190-K190-Q190+S190</f>
        <v>2832085210.9412956</v>
      </c>
      <c r="V190" s="9">
        <v>0</v>
      </c>
      <c r="W190" s="9">
        <v>0</v>
      </c>
      <c r="X190" s="9">
        <f>V190-W190</f>
        <v>0</v>
      </c>
    </row>
    <row r="191">
      <c r="A191" s="0" t="inlineStr">
        <is>
          <t xml:space="preserve">VG-012</t>
        </is>
      </c>
      <c r="B191" s="23">
        <v>13</v>
      </c>
      <c r="C191" s="9">
        <v>3708292636.713482</v>
      </c>
      <c r="D191" s="9">
        <v>546929273.9050977</v>
      </c>
      <c r="E191" s="9">
        <v>1552608175.5050504</v>
      </c>
      <c r="F191" s="9">
        <v>1608755187.3033335</v>
      </c>
      <c r="G191" s="9">
        <v>0</v>
      </c>
      <c r="H191" s="9">
        <v>0</v>
      </c>
      <c r="I191" s="9">
        <v>321751037.4606667</v>
      </c>
      <c r="J191" s="9">
        <v>304791175.62028617</v>
      </c>
      <c r="K191" s="9">
        <v>1501284.9587744474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0" t="inlineStr">
        <is>
          <t xml:space="preserve">ZERO_RESIDUAL_NO_SALE</t>
        </is>
      </c>
      <c r="U191" s="9">
        <f>C191-D191-I191-K191-Q191+S191</f>
        <v>2838111040.3889427</v>
      </c>
      <c r="V191" s="9">
        <v>0</v>
      </c>
      <c r="W191" s="9">
        <v>0</v>
      </c>
      <c r="X191" s="9">
        <f>V191-W191</f>
        <v>0</v>
      </c>
    </row>
    <row r="192">
      <c r="A192" s="0" t="inlineStr">
        <is>
          <t xml:space="preserve">VG-012</t>
        </is>
      </c>
      <c r="B192" s="23">
        <v>14</v>
      </c>
      <c r="C192" s="9">
        <v>3726648685.2652144</v>
      </c>
      <c r="D192" s="9">
        <v>557867859.3831998</v>
      </c>
      <c r="E192" s="9">
        <v>1552608175.5050504</v>
      </c>
      <c r="F192" s="9">
        <v>1616172650.3769643</v>
      </c>
      <c r="G192" s="9">
        <v>0</v>
      </c>
      <c r="H192" s="9">
        <v>0</v>
      </c>
      <c r="I192" s="9">
        <v>323234530.0753929</v>
      </c>
      <c r="J192" s="9">
        <v>306299891.93960667</v>
      </c>
      <c r="K192" s="9">
        <v>1508716.3193205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>
        <v>0</v>
      </c>
      <c r="T192" s="0" t="inlineStr">
        <is>
          <t xml:space="preserve">ZERO_RESIDUAL_NO_SALE</t>
        </is>
      </c>
      <c r="U192" s="9">
        <f>C192-D192-I192-K192-Q192+S192</f>
        <v>2844037579.4873013</v>
      </c>
      <c r="V192" s="9">
        <v>0</v>
      </c>
      <c r="W192" s="9">
        <v>0</v>
      </c>
      <c r="X192" s="9">
        <f>V192-W192</f>
        <v>0</v>
      </c>
    </row>
    <row r="193">
      <c r="A193" s="0" t="inlineStr">
        <is>
          <t xml:space="preserve">VG-012</t>
        </is>
      </c>
      <c r="B193" s="23">
        <v>15</v>
      </c>
      <c r="C193" s="9">
        <v>3745095596.2572775</v>
      </c>
      <c r="D193" s="9">
        <v>569025216.5708637</v>
      </c>
      <c r="E193" s="9">
        <v>1552608175.5050504</v>
      </c>
      <c r="F193" s="9">
        <v>1623462204.1813633</v>
      </c>
      <c r="G193" s="9">
        <v>0</v>
      </c>
      <c r="H193" s="9">
        <v>0</v>
      </c>
      <c r="I193" s="9">
        <v>324692440.8362727</v>
      </c>
      <c r="J193" s="9">
        <v>0</v>
      </c>
      <c r="K193" s="9">
        <v>-306299891.93960667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306299891.93960667</v>
      </c>
      <c r="T193" s="0" t="inlineStr">
        <is>
          <t xml:space="preserve">ZERO_RESIDUAL_NO_SALE</t>
        </is>
      </c>
      <c r="U193" s="9">
        <f>C193-D193-I193-K193-Q193+S193</f>
        <v>3157677830.7897477</v>
      </c>
      <c r="V193" s="9">
        <v>0</v>
      </c>
      <c r="W193" s="9">
        <v>0</v>
      </c>
      <c r="X193" s="9">
        <f>V193-W193</f>
        <v>0</v>
      </c>
    </row>
    <row r="194">
      <c r="A194" s="0" t="inlineStr">
        <is>
          <t xml:space="preserve">VG-013</t>
        </is>
      </c>
      <c r="B194" s="23">
        <v>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23292390625</v>
      </c>
      <c r="M194" s="9">
        <v>21263981534.090908</v>
      </c>
      <c r="N194" s="9">
        <v>2028409090.909093</v>
      </c>
      <c r="O194" s="9">
        <v>22312500000</v>
      </c>
      <c r="P194" s="9">
        <v>979890625.0000001</v>
      </c>
      <c r="Q194" s="9">
        <v>0</v>
      </c>
      <c r="R194" s="9">
        <v>0</v>
      </c>
      <c r="S194" s="9">
        <v>0</v>
      </c>
      <c r="T194" s="0" t="inlineStr">
        <is>
          <t xml:space="preserve">ZERO_RESIDUAL_NO_SALE</t>
        </is>
      </c>
      <c r="U194" s="9">
        <f>C194-D194-I194-K194-Q194+S194</f>
        <v>0</v>
      </c>
      <c r="V194" s="9">
        <v>23292390625</v>
      </c>
      <c r="W194" s="9">
        <v>23292390625</v>
      </c>
      <c r="X194" s="9">
        <f>V194-W194</f>
        <v>0</v>
      </c>
    </row>
    <row r="195">
      <c r="A195" s="0" t="inlineStr">
        <is>
          <t xml:space="preserve">VG-013</t>
        </is>
      </c>
      <c r="B195" s="23">
        <v>1</v>
      </c>
      <c r="C195" s="9">
        <v>3173310210</v>
      </c>
      <c r="D195" s="9">
        <v>393750000</v>
      </c>
      <c r="E195" s="9">
        <v>1417598768.9393938</v>
      </c>
      <c r="F195" s="9">
        <v>1361961441.0606062</v>
      </c>
      <c r="G195" s="9">
        <v>0</v>
      </c>
      <c r="H195" s="9">
        <v>0</v>
      </c>
      <c r="I195" s="9">
        <v>272392288.21212125</v>
      </c>
      <c r="J195" s="9">
        <v>260820017.26027396</v>
      </c>
      <c r="K195" s="9">
        <v>260820017.26027396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>
        <v>0</v>
      </c>
      <c r="T195" s="0" t="inlineStr">
        <is>
          <t xml:space="preserve">ZERO_RESIDUAL_NO_SALE</t>
        </is>
      </c>
      <c r="U195" s="9">
        <f>C195-D195-I195-K195-Q195+S195</f>
        <v>2246347904.527605</v>
      </c>
      <c r="V195" s="9">
        <v>0</v>
      </c>
      <c r="W195" s="9">
        <v>0</v>
      </c>
      <c r="X195" s="9">
        <f>V195-W195</f>
        <v>0</v>
      </c>
    </row>
    <row r="196">
      <c r="A196" s="0" t="inlineStr">
        <is>
          <t xml:space="preserve">VG-013</t>
        </is>
      </c>
      <c r="B196" s="23">
        <v>2</v>
      </c>
      <c r="C196" s="9">
        <v>3189018095.5394998</v>
      </c>
      <c r="D196" s="9">
        <v>401625000</v>
      </c>
      <c r="E196" s="9">
        <v>1417598768.9393938</v>
      </c>
      <c r="F196" s="9">
        <v>1369794326.600106</v>
      </c>
      <c r="G196" s="9">
        <v>0</v>
      </c>
      <c r="H196" s="9">
        <v>0</v>
      </c>
      <c r="I196" s="9">
        <v>273958865.3200212</v>
      </c>
      <c r="J196" s="9">
        <v>262111076.34571233</v>
      </c>
      <c r="K196" s="9">
        <v>1291059.0854383707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>
        <v>0</v>
      </c>
      <c r="T196" s="0" t="inlineStr">
        <is>
          <t xml:space="preserve">ZERO_RESIDUAL_NO_SALE</t>
        </is>
      </c>
      <c r="U196" s="9">
        <f>C196-D196-I196-K196-Q196+S196</f>
        <v>2512143171.1340404</v>
      </c>
      <c r="V196" s="9">
        <v>0</v>
      </c>
      <c r="W196" s="9">
        <v>0</v>
      </c>
      <c r="X196" s="9">
        <f>V196-W196</f>
        <v>0</v>
      </c>
    </row>
    <row r="197">
      <c r="A197" s="0" t="inlineStr">
        <is>
          <t xml:space="preserve">VG-013</t>
        </is>
      </c>
      <c r="B197" s="23">
        <v>3</v>
      </c>
      <c r="C197" s="9">
        <v>3204803735.1124206</v>
      </c>
      <c r="D197" s="9">
        <v>409657500</v>
      </c>
      <c r="E197" s="9">
        <v>1417598768.9393938</v>
      </c>
      <c r="F197" s="9">
        <v>1377547466.1730268</v>
      </c>
      <c r="G197" s="9">
        <v>0</v>
      </c>
      <c r="H197" s="9">
        <v>0</v>
      </c>
      <c r="I197" s="9">
        <v>275509493.2346054</v>
      </c>
      <c r="J197" s="9">
        <v>263408526.17362362</v>
      </c>
      <c r="K197" s="9">
        <v>1297449.8279112875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>
        <v>0</v>
      </c>
      <c r="T197" s="0" t="inlineStr">
        <is>
          <t xml:space="preserve">ZERO_RESIDUAL_NO_SALE</t>
        </is>
      </c>
      <c r="U197" s="9">
        <f>C197-D197-I197-K197-Q197+S197</f>
        <v>2518339292.049904</v>
      </c>
      <c r="V197" s="9">
        <v>0</v>
      </c>
      <c r="W197" s="9">
        <v>0</v>
      </c>
      <c r="X197" s="9">
        <f>V197-W197</f>
        <v>0</v>
      </c>
    </row>
    <row r="198">
      <c r="A198" s="0" t="inlineStr">
        <is>
          <t xml:space="preserve">VG-013</t>
        </is>
      </c>
      <c r="B198" s="23">
        <v>4</v>
      </c>
      <c r="C198" s="9">
        <v>3220667513.6012278</v>
      </c>
      <c r="D198" s="9">
        <v>417850650.00000006</v>
      </c>
      <c r="E198" s="9">
        <v>1417598768.9393938</v>
      </c>
      <c r="F198" s="9">
        <v>1385218094.661834</v>
      </c>
      <c r="G198" s="9">
        <v>0</v>
      </c>
      <c r="H198" s="9">
        <v>0</v>
      </c>
      <c r="I198" s="9">
        <v>277043618.9323668</v>
      </c>
      <c r="J198" s="9">
        <v>264712398.3781831</v>
      </c>
      <c r="K198" s="9">
        <v>1303872.2045594752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0</v>
      </c>
      <c r="S198" s="9">
        <v>0</v>
      </c>
      <c r="T198" s="0" t="inlineStr">
        <is>
          <t xml:space="preserve">ZERO_RESIDUAL_NO_SALE</t>
        </is>
      </c>
      <c r="U198" s="9">
        <f>C198-D198-I198-K198-Q198+S198</f>
        <v>2524469372.4643016</v>
      </c>
      <c r="V198" s="9">
        <v>0</v>
      </c>
      <c r="W198" s="9">
        <v>0</v>
      </c>
      <c r="X198" s="9">
        <f>V198-W198</f>
        <v>0</v>
      </c>
    </row>
    <row r="199">
      <c r="A199" s="0" t="inlineStr">
        <is>
          <t xml:space="preserve">VG-013</t>
        </is>
      </c>
      <c r="B199" s="23">
        <v>5</v>
      </c>
      <c r="C199" s="9">
        <v>3236609817.793553</v>
      </c>
      <c r="D199" s="9">
        <v>426207663</v>
      </c>
      <c r="E199" s="9">
        <v>1417598768.9393938</v>
      </c>
      <c r="F199" s="9">
        <v>1392803385.854159</v>
      </c>
      <c r="G199" s="9">
        <v>0</v>
      </c>
      <c r="H199" s="9">
        <v>0</v>
      </c>
      <c r="I199" s="9">
        <v>278560677.17083186</v>
      </c>
      <c r="J199" s="9">
        <v>266022724.750155</v>
      </c>
      <c r="K199" s="9">
        <v>1310326.3719719052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106319907.67045455</v>
      </c>
      <c r="R199" s="9">
        <v>0</v>
      </c>
      <c r="S199" s="9">
        <v>0</v>
      </c>
      <c r="T199" s="0" t="inlineStr">
        <is>
          <t xml:space="preserve">ZERO_RESIDUAL_NO_SALE</t>
        </is>
      </c>
      <c r="U199" s="9">
        <f>C199-D199-I199-K199-Q199+S199</f>
        <v>2424211243.5802946</v>
      </c>
      <c r="V199" s="9">
        <v>0</v>
      </c>
      <c r="W199" s="9">
        <v>0</v>
      </c>
      <c r="X199" s="9">
        <f>V199-W199</f>
        <v>0</v>
      </c>
    </row>
    <row r="200">
      <c r="A200" s="0" t="inlineStr">
        <is>
          <t xml:space="preserve">VG-013</t>
        </is>
      </c>
      <c r="B200" s="23">
        <v>6</v>
      </c>
      <c r="C200" s="9">
        <v>3252631036.391631</v>
      </c>
      <c r="D200" s="9">
        <v>434731816.26</v>
      </c>
      <c r="E200" s="9">
        <v>1417598768.9393938</v>
      </c>
      <c r="F200" s="9">
        <v>1400300451.1922371</v>
      </c>
      <c r="G200" s="9">
        <v>0</v>
      </c>
      <c r="H200" s="9">
        <v>0</v>
      </c>
      <c r="I200" s="9">
        <v>280060090.2384474</v>
      </c>
      <c r="J200" s="9">
        <v>267339537.2376683</v>
      </c>
      <c r="K200" s="9">
        <v>1316812.4875133038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>
        <v>0</v>
      </c>
      <c r="T200" s="0" t="inlineStr">
        <is>
          <t xml:space="preserve">ZERO_RESIDUAL_NO_SALE</t>
        </is>
      </c>
      <c r="U200" s="9">
        <f>C200-D200-I200-K200-Q200+S200</f>
        <v>2536522317.40567</v>
      </c>
      <c r="V200" s="9">
        <v>0</v>
      </c>
      <c r="W200" s="9">
        <v>0</v>
      </c>
      <c r="X200" s="9">
        <f>V200-W200</f>
        <v>0</v>
      </c>
    </row>
    <row r="201">
      <c r="A201" s="0" t="inlineStr">
        <is>
          <t xml:space="preserve">VG-013</t>
        </is>
      </c>
      <c r="B201" s="23">
        <v>7</v>
      </c>
      <c r="C201" s="9">
        <v>3268731560.02177</v>
      </c>
      <c r="D201" s="9">
        <v>443426452.5852</v>
      </c>
      <c r="E201" s="9">
        <v>1417598768.9393938</v>
      </c>
      <c r="F201" s="9">
        <v>1407706338.4971764</v>
      </c>
      <c r="G201" s="9">
        <v>0</v>
      </c>
      <c r="H201" s="9">
        <v>0</v>
      </c>
      <c r="I201" s="9">
        <v>281541267.6994353</v>
      </c>
      <c r="J201" s="9">
        <v>268662867.94699484</v>
      </c>
      <c r="K201" s="9">
        <v>1323330.7093265355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0" t="inlineStr">
        <is>
          <t xml:space="preserve">ZERO_RESIDUAL_NO_SALE</t>
        </is>
      </c>
      <c r="U201" s="9">
        <f>C201-D201-I201-K201-Q201+S201</f>
        <v>2542440509.027808</v>
      </c>
      <c r="V201" s="9">
        <v>0</v>
      </c>
      <c r="W201" s="9">
        <v>0</v>
      </c>
      <c r="X201" s="9">
        <f>V201-W201</f>
        <v>0</v>
      </c>
    </row>
    <row r="202">
      <c r="A202" s="0" t="inlineStr">
        <is>
          <t xml:space="preserve">VG-013</t>
        </is>
      </c>
      <c r="B202" s="23">
        <v>8</v>
      </c>
      <c r="C202" s="9">
        <v>3284911781.2438774</v>
      </c>
      <c r="D202" s="9">
        <v>452294981.636904</v>
      </c>
      <c r="E202" s="9">
        <v>1417598768.9393938</v>
      </c>
      <c r="F202" s="9">
        <v>1415018030.66758</v>
      </c>
      <c r="G202" s="9">
        <v>0</v>
      </c>
      <c r="H202" s="9">
        <v>0</v>
      </c>
      <c r="I202" s="9">
        <v>283003606.133516</v>
      </c>
      <c r="J202" s="9">
        <v>269992749.14333236</v>
      </c>
      <c r="K202" s="9">
        <v>1329881.196337521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0</v>
      </c>
      <c r="S202" s="9">
        <v>0</v>
      </c>
      <c r="T202" s="0" t="inlineStr">
        <is>
          <t xml:space="preserve">ZERO_RESIDUAL_NO_SALE</t>
        </is>
      </c>
      <c r="U202" s="9">
        <f>C202-D202-I202-K202-Q202+S202</f>
        <v>2548283312.27712</v>
      </c>
      <c r="V202" s="9">
        <v>0</v>
      </c>
      <c r="W202" s="9">
        <v>0</v>
      </c>
      <c r="X202" s="9">
        <f>V202-W202</f>
        <v>0</v>
      </c>
    </row>
    <row r="203">
      <c r="A203" s="0" t="inlineStr">
        <is>
          <t xml:space="preserve">VG-013</t>
        </is>
      </c>
      <c r="B203" s="23">
        <v>9</v>
      </c>
      <c r="C203" s="9">
        <v>3301172094.5610347</v>
      </c>
      <c r="D203" s="9">
        <v>461340881.2696421</v>
      </c>
      <c r="E203" s="9">
        <v>1417598768.9393938</v>
      </c>
      <c r="F203" s="9">
        <v>1422232444.3519986</v>
      </c>
      <c r="G203" s="9">
        <v>0</v>
      </c>
      <c r="H203" s="9">
        <v>0</v>
      </c>
      <c r="I203" s="9">
        <v>284446488.8703997</v>
      </c>
      <c r="J203" s="9">
        <v>271329213.25159186</v>
      </c>
      <c r="K203" s="9">
        <v>1336464.108259499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0</v>
      </c>
      <c r="S203" s="9">
        <v>0</v>
      </c>
      <c r="T203" s="0" t="inlineStr">
        <is>
          <t xml:space="preserve">ZERO_RESIDUAL_NO_SALE</t>
        </is>
      </c>
      <c r="U203" s="9">
        <f>C203-D203-I203-K203-Q203+S203</f>
        <v>2554048260.312733</v>
      </c>
      <c r="V203" s="9">
        <v>0</v>
      </c>
      <c r="W203" s="9">
        <v>0</v>
      </c>
      <c r="X203" s="9">
        <f>V203-W203</f>
        <v>0</v>
      </c>
    </row>
    <row r="204">
      <c r="A204" s="0" t="inlineStr">
        <is>
          <t xml:space="preserve">VG-013</t>
        </is>
      </c>
      <c r="B204" s="23">
        <v>10</v>
      </c>
      <c r="C204" s="9">
        <v>3317512896.4291115</v>
      </c>
      <c r="D204" s="9">
        <v>470567698.89503497</v>
      </c>
      <c r="E204" s="9">
        <v>1417598768.9393938</v>
      </c>
      <c r="F204" s="9">
        <v>1429346428.594683</v>
      </c>
      <c r="G204" s="9">
        <v>0</v>
      </c>
      <c r="H204" s="9">
        <v>0</v>
      </c>
      <c r="I204" s="9">
        <v>285869285.7189366</v>
      </c>
      <c r="J204" s="9">
        <v>272672292.8571873</v>
      </c>
      <c r="K204" s="9">
        <v>1343079.6055954099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106319907.67045455</v>
      </c>
      <c r="R204" s="9">
        <v>0</v>
      </c>
      <c r="S204" s="9">
        <v>0</v>
      </c>
      <c r="T204" s="0" t="inlineStr">
        <is>
          <t xml:space="preserve">ZERO_RESIDUAL_NO_SALE</t>
        </is>
      </c>
      <c r="U204" s="9">
        <f>C204-D204-I204-K204-Q204+S204</f>
        <v>2453412924.53909</v>
      </c>
      <c r="V204" s="9">
        <v>0</v>
      </c>
      <c r="W204" s="9">
        <v>0</v>
      </c>
      <c r="X204" s="9">
        <f>V204-W204</f>
        <v>0</v>
      </c>
    </row>
    <row r="205">
      <c r="A205" s="0" t="inlineStr">
        <is>
          <t xml:space="preserve">VG-013</t>
        </is>
      </c>
      <c r="B205" s="23">
        <v>11</v>
      </c>
      <c r="C205" s="9">
        <v>3333934585.266436</v>
      </c>
      <c r="D205" s="9">
        <v>479979052.8729357</v>
      </c>
      <c r="E205" s="9">
        <v>1417598768.9393938</v>
      </c>
      <c r="F205" s="9">
        <v>1436356763.4541066</v>
      </c>
      <c r="G205" s="9">
        <v>0</v>
      </c>
      <c r="H205" s="9">
        <v>0</v>
      </c>
      <c r="I205" s="9">
        <v>287271352.69082135</v>
      </c>
      <c r="J205" s="9">
        <v>274022020.7068304</v>
      </c>
      <c r="K205" s="9">
        <v>1349727.8496431112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>
        <v>0</v>
      </c>
      <c r="T205" s="0" t="inlineStr">
        <is>
          <t xml:space="preserve">ZERO_RESIDUAL_NO_SALE</t>
        </is>
      </c>
      <c r="U205" s="9">
        <f>C205-D205-I205-K205-Q205+S205</f>
        <v>2565334451.853036</v>
      </c>
      <c r="V205" s="9">
        <v>0</v>
      </c>
      <c r="W205" s="9">
        <v>0</v>
      </c>
      <c r="X205" s="9">
        <f>V205-W205</f>
        <v>0</v>
      </c>
    </row>
    <row r="206">
      <c r="A206" s="0" t="inlineStr">
        <is>
          <t xml:space="preserve">VG-013</t>
        </is>
      </c>
      <c r="B206" s="23">
        <v>12</v>
      </c>
      <c r="C206" s="9">
        <v>3350437561.4635043</v>
      </c>
      <c r="D206" s="9">
        <v>489578633.9303944</v>
      </c>
      <c r="E206" s="9">
        <v>1417598768.9393938</v>
      </c>
      <c r="F206" s="9">
        <v>1443260158.593716</v>
      </c>
      <c r="G206" s="9">
        <v>0</v>
      </c>
      <c r="H206" s="9">
        <v>0</v>
      </c>
      <c r="I206" s="9">
        <v>288652031.7187432</v>
      </c>
      <c r="J206" s="9">
        <v>275378429.7093291</v>
      </c>
      <c r="K206" s="9">
        <v>1356409.002498746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0" t="inlineStr">
        <is>
          <t xml:space="preserve">ZERO_RESIDUAL_NO_SALE</t>
        </is>
      </c>
      <c r="U206" s="9">
        <f>C206-D206-I206-K206-Q206+S206</f>
        <v>2570850486.8118677</v>
      </c>
      <c r="V206" s="9">
        <v>0</v>
      </c>
      <c r="W206" s="9">
        <v>0</v>
      </c>
      <c r="X206" s="9">
        <f>V206-W206</f>
        <v>0</v>
      </c>
    </row>
    <row r="207">
      <c r="A207" s="0" t="inlineStr">
        <is>
          <t xml:space="preserve">VG-013</t>
        </is>
      </c>
      <c r="B207" s="23">
        <v>13</v>
      </c>
      <c r="C207" s="9">
        <v>3367022227.392749</v>
      </c>
      <c r="D207" s="9">
        <v>499370206.6090023</v>
      </c>
      <c r="E207" s="9">
        <v>1417598768.9393938</v>
      </c>
      <c r="F207" s="9">
        <v>1450053251.844353</v>
      </c>
      <c r="G207" s="9">
        <v>0</v>
      </c>
      <c r="H207" s="9">
        <v>0</v>
      </c>
      <c r="I207" s="9">
        <v>290010650.3688706</v>
      </c>
      <c r="J207" s="9">
        <v>276741552.93639034</v>
      </c>
      <c r="K207" s="9">
        <v>1363123.227061212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0" t="inlineStr">
        <is>
          <t xml:space="preserve">ZERO_RESIDUAL_NO_SALE</t>
        </is>
      </c>
      <c r="U207" s="9">
        <f>C207-D207-I207-K207-Q207+S207</f>
        <v>2576278247.1878147</v>
      </c>
      <c r="V207" s="9">
        <v>0</v>
      </c>
      <c r="W207" s="9">
        <v>0</v>
      </c>
      <c r="X207" s="9">
        <f>V207-W207</f>
        <v>0</v>
      </c>
    </row>
    <row r="208">
      <c r="A208" s="0" t="inlineStr">
        <is>
          <t xml:space="preserve">VG-013</t>
        </is>
      </c>
      <c r="B208" s="23">
        <v>14</v>
      </c>
      <c r="C208" s="9">
        <v>3383688987.4183435</v>
      </c>
      <c r="D208" s="9">
        <v>509357610.7411824</v>
      </c>
      <c r="E208" s="9">
        <v>1417598768.9393938</v>
      </c>
      <c r="F208" s="9">
        <v>1456732607.7377675</v>
      </c>
      <c r="G208" s="9">
        <v>0</v>
      </c>
      <c r="H208" s="9">
        <v>0</v>
      </c>
      <c r="I208" s="9">
        <v>291346521.5475535</v>
      </c>
      <c r="J208" s="9">
        <v>278111423.6234255</v>
      </c>
      <c r="K208" s="9">
        <v>1369870.6870351434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0" t="inlineStr">
        <is>
          <t xml:space="preserve">ZERO_RESIDUAL_NO_SALE</t>
        </is>
      </c>
      <c r="U208" s="9">
        <f>C208-D208-I208-K208-Q208+S208</f>
        <v>2581614984.4425726</v>
      </c>
      <c r="V208" s="9">
        <v>0</v>
      </c>
      <c r="W208" s="9">
        <v>0</v>
      </c>
      <c r="X208" s="9">
        <f>V208-W208</f>
        <v>0</v>
      </c>
    </row>
    <row r="209">
      <c r="A209" s="0" t="inlineStr">
        <is>
          <t xml:space="preserve">VG-013</t>
        </is>
      </c>
      <c r="B209" s="23">
        <v>15</v>
      </c>
      <c r="C209" s="9">
        <v>3400438247.906065</v>
      </c>
      <c r="D209" s="9">
        <v>519544762.956006</v>
      </c>
      <c r="E209" s="9">
        <v>1417598768.9393938</v>
      </c>
      <c r="F209" s="9">
        <v>1463294716.0106652</v>
      </c>
      <c r="G209" s="9">
        <v>0</v>
      </c>
      <c r="H209" s="9">
        <v>0</v>
      </c>
      <c r="I209" s="9">
        <v>292658943.20213306</v>
      </c>
      <c r="J209" s="9">
        <v>0</v>
      </c>
      <c r="K209" s="9">
        <v>-278111423.6234255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278111423.6234255</v>
      </c>
      <c r="T209" s="0" t="inlineStr">
        <is>
          <t xml:space="preserve">ZERO_RESIDUAL_NO_SALE</t>
        </is>
      </c>
      <c r="U209" s="9">
        <f>C209-D209-I209-K209-Q209+S209</f>
        <v>2866345965.3713512</v>
      </c>
      <c r="V209" s="9">
        <v>0</v>
      </c>
      <c r="W209" s="9">
        <v>0</v>
      </c>
      <c r="X209" s="9">
        <f>V209-W209</f>
        <v>0</v>
      </c>
    </row>
    <row r="210">
      <c r="A210" s="0" t="inlineStr">
        <is>
          <t xml:space="preserve">VG-014</t>
        </is>
      </c>
      <c r="B210" s="23">
        <v>0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27729036458.333332</v>
      </c>
      <c r="M210" s="9">
        <v>25314263731.060604</v>
      </c>
      <c r="N210" s="9">
        <v>2414772727.272729</v>
      </c>
      <c r="O210" s="9">
        <v>26562500000</v>
      </c>
      <c r="P210" s="9">
        <v>1166536458.3333335</v>
      </c>
      <c r="Q210" s="9">
        <v>0</v>
      </c>
      <c r="R210" s="9">
        <v>0</v>
      </c>
      <c r="S210" s="9">
        <v>0</v>
      </c>
      <c r="T210" s="0" t="inlineStr">
        <is>
          <t xml:space="preserve">ZERO_RESIDUAL_NO_SALE</t>
        </is>
      </c>
      <c r="U210" s="9">
        <f>C210-D210-I210-K210-Q210+S210</f>
        <v>0</v>
      </c>
      <c r="V210" s="9">
        <v>27729036458.333332</v>
      </c>
      <c r="W210" s="9">
        <v>27729036458.333332</v>
      </c>
      <c r="X210" s="9">
        <f>V210-W210</f>
        <v>0</v>
      </c>
    </row>
    <row r="211">
      <c r="A211" s="0" t="inlineStr">
        <is>
          <t xml:space="preserve">VG-014</t>
        </is>
      </c>
      <c r="B211" s="23">
        <v>1</v>
      </c>
      <c r="C211" s="9">
        <v>3735540750.000001</v>
      </c>
      <c r="D211" s="9">
        <v>468750000</v>
      </c>
      <c r="E211" s="9">
        <v>1687617582.0707068</v>
      </c>
      <c r="F211" s="9">
        <v>1579173167.929294</v>
      </c>
      <c r="G211" s="9">
        <v>0</v>
      </c>
      <c r="H211" s="9">
        <v>0</v>
      </c>
      <c r="I211" s="9">
        <v>315834633.5858588</v>
      </c>
      <c r="J211" s="9">
        <v>307030746.57534254</v>
      </c>
      <c r="K211" s="9">
        <v>307030746.57534254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0" t="inlineStr">
        <is>
          <t xml:space="preserve">ZERO_RESIDUAL_NO_SALE</t>
        </is>
      </c>
      <c r="U211" s="9">
        <f>C211-D211-I211-K211-Q211+S211</f>
        <v>2643925369.8387995</v>
      </c>
      <c r="V211" s="9">
        <v>0</v>
      </c>
      <c r="W211" s="9">
        <v>0</v>
      </c>
      <c r="X211" s="9">
        <f>V211-W211</f>
        <v>0</v>
      </c>
    </row>
    <row r="212">
      <c r="A212" s="0" t="inlineStr">
        <is>
          <t xml:space="preserve">VG-014</t>
        </is>
      </c>
      <c r="B212" s="23">
        <v>2</v>
      </c>
      <c r="C212" s="9">
        <v>3754031676.712501</v>
      </c>
      <c r="D212" s="9">
        <v>478125000</v>
      </c>
      <c r="E212" s="9">
        <v>1687617582.0707068</v>
      </c>
      <c r="F212" s="9">
        <v>1588289094.6417942</v>
      </c>
      <c r="G212" s="9">
        <v>0</v>
      </c>
      <c r="H212" s="9">
        <v>0</v>
      </c>
      <c r="I212" s="9">
        <v>317657818.92835885</v>
      </c>
      <c r="J212" s="9">
        <v>308550548.7708905</v>
      </c>
      <c r="K212" s="9">
        <v>1519802.1955479383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0" t="inlineStr">
        <is>
          <t xml:space="preserve">ZERO_RESIDUAL_NO_SALE</t>
        </is>
      </c>
      <c r="U212" s="9">
        <f>C212-D212-I212-K212-Q212+S212</f>
        <v>2956729055.588594</v>
      </c>
      <c r="V212" s="9">
        <v>0</v>
      </c>
      <c r="W212" s="9">
        <v>0</v>
      </c>
      <c r="X212" s="9">
        <f>V212-W212</f>
        <v>0</v>
      </c>
    </row>
    <row r="213">
      <c r="A213" s="0" t="inlineStr">
        <is>
          <t xml:space="preserve">VG-014</t>
        </is>
      </c>
      <c r="B213" s="23">
        <v>3</v>
      </c>
      <c r="C213" s="9">
        <v>3772614133.5122275</v>
      </c>
      <c r="D213" s="9">
        <v>487687500</v>
      </c>
      <c r="E213" s="9">
        <v>1687617582.0707068</v>
      </c>
      <c r="F213" s="9">
        <v>1597309051.4415207</v>
      </c>
      <c r="G213" s="9">
        <v>0</v>
      </c>
      <c r="H213" s="9">
        <v>0</v>
      </c>
      <c r="I213" s="9">
        <v>319461810.28830415</v>
      </c>
      <c r="J213" s="9">
        <v>310077873.98730636</v>
      </c>
      <c r="K213" s="9">
        <v>1527325.216415882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0" t="inlineStr">
        <is>
          <t xml:space="preserve">ZERO_RESIDUAL_NO_SALE</t>
        </is>
      </c>
      <c r="U213" s="9">
        <f>C213-D213-I213-K213-Q213+S213</f>
        <v>2963937498.0075073</v>
      </c>
      <c r="V213" s="9">
        <v>0</v>
      </c>
      <c r="W213" s="9">
        <v>0</v>
      </c>
      <c r="X213" s="9">
        <f>V213-W213</f>
        <v>0</v>
      </c>
    </row>
    <row r="214">
      <c r="A214" s="0" t="inlineStr">
        <is>
          <t xml:space="preserve">VG-014</t>
        </is>
      </c>
      <c r="B214" s="23">
        <v>4</v>
      </c>
      <c r="C214" s="9">
        <v>3791288573.4731135</v>
      </c>
      <c r="D214" s="9">
        <v>497441250.00000006</v>
      </c>
      <c r="E214" s="9">
        <v>1687617582.0707068</v>
      </c>
      <c r="F214" s="9">
        <v>1606229741.4024067</v>
      </c>
      <c r="G214" s="9">
        <v>0</v>
      </c>
      <c r="H214" s="9">
        <v>0</v>
      </c>
      <c r="I214" s="9">
        <v>321245948.28048134</v>
      </c>
      <c r="J214" s="9">
        <v>311612759.4635436</v>
      </c>
      <c r="K214" s="9">
        <v>1534885.4762372375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0" t="inlineStr">
        <is>
          <t xml:space="preserve">ZERO_RESIDUAL_NO_SALE</t>
        </is>
      </c>
      <c r="U214" s="9">
        <f>C214-D214-I214-K214-Q214+S214</f>
        <v>2971066489.716395</v>
      </c>
      <c r="V214" s="9">
        <v>0</v>
      </c>
      <c r="W214" s="9">
        <v>0</v>
      </c>
      <c r="X214" s="9">
        <f>V214-W214</f>
        <v>0</v>
      </c>
    </row>
    <row r="215">
      <c r="A215" s="0" t="inlineStr">
        <is>
          <t xml:space="preserve">VG-014</t>
        </is>
      </c>
      <c r="B215" s="23">
        <v>5</v>
      </c>
      <c r="C215" s="9">
        <v>3810055451.911805</v>
      </c>
      <c r="D215" s="9">
        <v>507390075</v>
      </c>
      <c r="E215" s="9">
        <v>1687617582.0707068</v>
      </c>
      <c r="F215" s="9">
        <v>1615047794.8410983</v>
      </c>
      <c r="G215" s="9">
        <v>0</v>
      </c>
      <c r="H215" s="9">
        <v>0</v>
      </c>
      <c r="I215" s="9">
        <v>323009558.9682197</v>
      </c>
      <c r="J215" s="9">
        <v>313155242.6228881</v>
      </c>
      <c r="K215" s="9">
        <v>1542483.1593444943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126571318.65530302</v>
      </c>
      <c r="R215" s="9">
        <v>0</v>
      </c>
      <c r="S215" s="9">
        <v>0</v>
      </c>
      <c r="T215" s="0" t="inlineStr">
        <is>
          <t xml:space="preserve">ZERO_RESIDUAL_NO_SALE</t>
        </is>
      </c>
      <c r="U215" s="9">
        <f>C215-D215-I215-K215-Q215+S215</f>
        <v>2851542016.1289377</v>
      </c>
      <c r="V215" s="9">
        <v>0</v>
      </c>
      <c r="W215" s="9">
        <v>0</v>
      </c>
      <c r="X215" s="9">
        <f>V215-W215</f>
        <v>0</v>
      </c>
    </row>
    <row r="216">
      <c r="A216" s="0" t="inlineStr">
        <is>
          <t xml:space="preserve">VG-014</t>
        </is>
      </c>
      <c r="B216" s="23">
        <v>6</v>
      </c>
      <c r="C216" s="9">
        <v>3828915226.3987694</v>
      </c>
      <c r="D216" s="9">
        <v>517537876.5</v>
      </c>
      <c r="E216" s="9">
        <v>1687617582.0707068</v>
      </c>
      <c r="F216" s="9">
        <v>1623759767.8280625</v>
      </c>
      <c r="G216" s="9">
        <v>0</v>
      </c>
      <c r="H216" s="9">
        <v>0</v>
      </c>
      <c r="I216" s="9">
        <v>324751953.56561255</v>
      </c>
      <c r="J216" s="9">
        <v>314705361.07387143</v>
      </c>
      <c r="K216" s="9">
        <v>1550118.4509833455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0" t="inlineStr">
        <is>
          <t xml:space="preserve">ZERO_RESIDUAL_NO_SALE</t>
        </is>
      </c>
      <c r="U216" s="9">
        <f>C216-D216-I216-K216-Q216+S216</f>
        <v>2985075277.882173</v>
      </c>
      <c r="V216" s="9">
        <v>0</v>
      </c>
      <c r="W216" s="9">
        <v>0</v>
      </c>
      <c r="X216" s="9">
        <f>V216-W216</f>
        <v>0</v>
      </c>
    </row>
    <row r="217">
      <c r="A217" s="0" t="inlineStr">
        <is>
          <t xml:space="preserve">VG-014</t>
        </is>
      </c>
      <c r="B217" s="23">
        <v>7</v>
      </c>
      <c r="C217" s="9">
        <v>3847868356.769443</v>
      </c>
      <c r="D217" s="9">
        <v>527888634.03000003</v>
      </c>
      <c r="E217" s="9">
        <v>1687617582.0707068</v>
      </c>
      <c r="F217" s="9">
        <v>1632362140.668736</v>
      </c>
      <c r="G217" s="9">
        <v>0</v>
      </c>
      <c r="H217" s="9">
        <v>0</v>
      </c>
      <c r="I217" s="9">
        <v>326472428.1337472</v>
      </c>
      <c r="J217" s="9">
        <v>316263152.6111871</v>
      </c>
      <c r="K217" s="9">
        <v>1557791.5373156667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0" t="inlineStr">
        <is>
          <t xml:space="preserve">ZERO_RESIDUAL_NO_SALE</t>
        </is>
      </c>
      <c r="U217" s="9">
        <f>C217-D217-I217-K217-Q217+S217</f>
        <v>2991949503.06838</v>
      </c>
      <c r="V217" s="9">
        <v>0</v>
      </c>
      <c r="W217" s="9">
        <v>0</v>
      </c>
      <c r="X217" s="9">
        <f>V217-W217</f>
        <v>0</v>
      </c>
    </row>
    <row r="218">
      <c r="A218" s="0" t="inlineStr">
        <is>
          <t xml:space="preserve">VG-014</t>
        </is>
      </c>
      <c r="B218" s="23">
        <v>8</v>
      </c>
      <c r="C218" s="9">
        <v>3866915305.1354513</v>
      </c>
      <c r="D218" s="9">
        <v>538446406.7106</v>
      </c>
      <c r="E218" s="9">
        <v>1687617582.0707068</v>
      </c>
      <c r="F218" s="9">
        <v>1640851316.3541446</v>
      </c>
      <c r="G218" s="9">
        <v>0</v>
      </c>
      <c r="H218" s="9">
        <v>0</v>
      </c>
      <c r="I218" s="9">
        <v>328170263.27082896</v>
      </c>
      <c r="J218" s="9">
        <v>317828655.21661246</v>
      </c>
      <c r="K218" s="9">
        <v>1565502.6054253578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0" t="inlineStr">
        <is>
          <t xml:space="preserve">ZERO_RESIDUAL_NO_SALE</t>
        </is>
      </c>
      <c r="U218" s="9">
        <f>C218-D218-I218-K218-Q218+S218</f>
        <v>2998733132.548597</v>
      </c>
      <c r="V218" s="9">
        <v>0</v>
      </c>
      <c r="W218" s="9">
        <v>0</v>
      </c>
      <c r="X218" s="9">
        <f>V218-W218</f>
        <v>0</v>
      </c>
    </row>
    <row r="219">
      <c r="A219" s="0" t="inlineStr">
        <is>
          <t xml:space="preserve">VG-014</t>
        </is>
      </c>
      <c r="B219" s="23">
        <v>9</v>
      </c>
      <c r="C219" s="9">
        <v>3886056535.8958716</v>
      </c>
      <c r="D219" s="9">
        <v>549215334.844812</v>
      </c>
      <c r="E219" s="9">
        <v>1687617582.0707068</v>
      </c>
      <c r="F219" s="9">
        <v>1649223618.9803529</v>
      </c>
      <c r="G219" s="9">
        <v>0</v>
      </c>
      <c r="H219" s="9">
        <v>0</v>
      </c>
      <c r="I219" s="9">
        <v>329844723.7960706</v>
      </c>
      <c r="J219" s="9">
        <v>319401907.0599346</v>
      </c>
      <c r="K219" s="9">
        <v>1573251.8433221579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0" t="inlineStr">
        <is>
          <t xml:space="preserve">ZERO_RESIDUAL_NO_SALE</t>
        </is>
      </c>
      <c r="U219" s="9">
        <f>C219-D219-I219-K219-Q219+S219</f>
        <v>3005423225.411667</v>
      </c>
      <c r="V219" s="9">
        <v>0</v>
      </c>
      <c r="W219" s="9">
        <v>0</v>
      </c>
      <c r="X219" s="9">
        <f>V219-W219</f>
        <v>0</v>
      </c>
    </row>
    <row r="220">
      <c r="A220" s="0" t="inlineStr">
        <is>
          <t xml:space="preserve">VG-014</t>
        </is>
      </c>
      <c r="B220" s="23">
        <v>10</v>
      </c>
      <c r="C220" s="9">
        <v>3905292515.7485566</v>
      </c>
      <c r="D220" s="9">
        <v>560199641.5417084</v>
      </c>
      <c r="E220" s="9">
        <v>1687617582.0707068</v>
      </c>
      <c r="F220" s="9">
        <v>1657475292.1361413</v>
      </c>
      <c r="G220" s="9">
        <v>0</v>
      </c>
      <c r="H220" s="9">
        <v>0</v>
      </c>
      <c r="I220" s="9">
        <v>331495058.4272283</v>
      </c>
      <c r="J220" s="9">
        <v>320982946.4998814</v>
      </c>
      <c r="K220" s="9">
        <v>1581039.4399467707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126571318.65530302</v>
      </c>
      <c r="R220" s="9">
        <v>0</v>
      </c>
      <c r="S220" s="9">
        <v>0</v>
      </c>
      <c r="T220" s="0" t="inlineStr">
        <is>
          <t xml:space="preserve">ZERO_RESIDUAL_NO_SALE</t>
        </is>
      </c>
      <c r="U220" s="9">
        <f>C220-D220-I220-K220-Q220+S220</f>
        <v>2885445457.68437</v>
      </c>
      <c r="V220" s="9">
        <v>0</v>
      </c>
      <c r="W220" s="9">
        <v>0</v>
      </c>
      <c r="X220" s="9">
        <f>V220-W220</f>
        <v>0</v>
      </c>
    </row>
    <row r="221">
      <c r="A221" s="0" t="inlineStr">
        <is>
          <t xml:space="preserve">VG-014</t>
        </is>
      </c>
      <c r="B221" s="23">
        <v>11</v>
      </c>
      <c r="C221" s="9">
        <v>3924623713.701511</v>
      </c>
      <c r="D221" s="9">
        <v>571403634.3725425</v>
      </c>
      <c r="E221" s="9">
        <v>1687617582.0707068</v>
      </c>
      <c r="F221" s="9">
        <v>1665602497.2582617</v>
      </c>
      <c r="G221" s="9">
        <v>0</v>
      </c>
      <c r="H221" s="9">
        <v>0</v>
      </c>
      <c r="I221" s="9">
        <v>333120499.45165235</v>
      </c>
      <c r="J221" s="9">
        <v>322571812.0850557</v>
      </c>
      <c r="K221" s="9">
        <v>1588865.5851743221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0" t="inlineStr">
        <is>
          <t xml:space="preserve">ZERO_RESIDUAL_NO_SALE</t>
        </is>
      </c>
      <c r="U221" s="9">
        <f>C221-D221-I221-K221-Q221+S221</f>
        <v>3018510714.292142</v>
      </c>
      <c r="V221" s="9">
        <v>0</v>
      </c>
      <c r="W221" s="9">
        <v>0</v>
      </c>
      <c r="X221" s="9">
        <f>V221-W221</f>
        <v>0</v>
      </c>
    </row>
    <row r="222">
      <c r="A222" s="0" t="inlineStr">
        <is>
          <t xml:space="preserve">VG-014</t>
        </is>
      </c>
      <c r="B222" s="23">
        <v>12</v>
      </c>
      <c r="C222" s="9">
        <v>3944050601.084334</v>
      </c>
      <c r="D222" s="9">
        <v>582831707.0599934</v>
      </c>
      <c r="E222" s="9">
        <v>1687617582.0707068</v>
      </c>
      <c r="F222" s="9">
        <v>1673601311.9536338</v>
      </c>
      <c r="G222" s="9">
        <v>0</v>
      </c>
      <c r="H222" s="9">
        <v>0</v>
      </c>
      <c r="I222" s="9">
        <v>334720262.3907268</v>
      </c>
      <c r="J222" s="9">
        <v>324168542.55487674</v>
      </c>
      <c r="K222" s="9">
        <v>1596730.4698210359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0" t="inlineStr">
        <is>
          <t xml:space="preserve">ZERO_RESIDUAL_NO_SALE</t>
        </is>
      </c>
      <c r="U222" s="9">
        <f>C222-D222-I222-K222-Q222+S222</f>
        <v>3024901901.1637926</v>
      </c>
      <c r="V222" s="9">
        <v>0</v>
      </c>
      <c r="W222" s="9">
        <v>0</v>
      </c>
      <c r="X222" s="9">
        <f>V222-W222</f>
        <v>0</v>
      </c>
    </row>
    <row r="223">
      <c r="A223" s="0" t="inlineStr">
        <is>
          <t xml:space="preserve">VG-014</t>
        </is>
      </c>
      <c r="B223" s="23">
        <v>13</v>
      </c>
      <c r="C223" s="9">
        <v>3963573651.559701</v>
      </c>
      <c r="D223" s="9">
        <v>594488341.2011932</v>
      </c>
      <c r="E223" s="9">
        <v>1687617582.0707068</v>
      </c>
      <c r="F223" s="9">
        <v>1681467728.2878008</v>
      </c>
      <c r="G223" s="9">
        <v>0</v>
      </c>
      <c r="H223" s="9">
        <v>0</v>
      </c>
      <c r="I223" s="9">
        <v>336293545.65756017</v>
      </c>
      <c r="J223" s="9">
        <v>325773176.84052336</v>
      </c>
      <c r="K223" s="9">
        <v>1604634.2856466174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0" t="inlineStr">
        <is>
          <t xml:space="preserve">ZERO_RESIDUAL_NO_SALE</t>
        </is>
      </c>
      <c r="U223" s="9">
        <f>C223-D223-I223-K223-Q223+S223</f>
        <v>3031187130.415301</v>
      </c>
      <c r="V223" s="9">
        <v>0</v>
      </c>
      <c r="W223" s="9">
        <v>0</v>
      </c>
      <c r="X223" s="9">
        <f>V223-W223</f>
        <v>0</v>
      </c>
    </row>
    <row r="224">
      <c r="A224" s="0" t="inlineStr">
        <is>
          <t xml:space="preserve">VG-014</t>
        </is>
      </c>
      <c r="B224" s="23">
        <v>14</v>
      </c>
      <c r="C224" s="9">
        <v>3983193341.1349225</v>
      </c>
      <c r="D224" s="9">
        <v>606378108.0252172</v>
      </c>
      <c r="E224" s="9">
        <v>1687617582.0707068</v>
      </c>
      <c r="F224" s="9">
        <v>1689197651.0389986</v>
      </c>
      <c r="G224" s="9">
        <v>0</v>
      </c>
      <c r="H224" s="9">
        <v>0</v>
      </c>
      <c r="I224" s="9">
        <v>337839530.20779973</v>
      </c>
      <c r="J224" s="9">
        <v>327385754.065884</v>
      </c>
      <c r="K224" s="9">
        <v>1612577.225360632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0" t="inlineStr">
        <is>
          <t xml:space="preserve">ZERO_RESIDUAL_NO_SALE</t>
        </is>
      </c>
      <c r="U224" s="9">
        <f>C224-D224-I224-K224-Q224+S224</f>
        <v>3037363125.676545</v>
      </c>
      <c r="V224" s="9">
        <v>0</v>
      </c>
      <c r="W224" s="9">
        <v>0</v>
      </c>
      <c r="X224" s="9">
        <f>V224-W224</f>
        <v>0</v>
      </c>
    </row>
    <row r="225">
      <c r="A225" s="0" t="inlineStr">
        <is>
          <t xml:space="preserve">VG-014</t>
        </is>
      </c>
      <c r="B225" s="23">
        <v>15</v>
      </c>
      <c r="C225" s="9">
        <v>4002910148.1735406</v>
      </c>
      <c r="D225" s="9">
        <v>618505670.1857214</v>
      </c>
      <c r="E225" s="9">
        <v>1687617582.0707068</v>
      </c>
      <c r="F225" s="9">
        <v>1696786895.9171124</v>
      </c>
      <c r="G225" s="9">
        <v>0</v>
      </c>
      <c r="H225" s="9">
        <v>0</v>
      </c>
      <c r="I225" s="9">
        <v>339357379.1834225</v>
      </c>
      <c r="J225" s="9">
        <v>0</v>
      </c>
      <c r="K225" s="9">
        <v>-327385754.065884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327385754.065884</v>
      </c>
      <c r="T225" s="0" t="inlineStr">
        <is>
          <t xml:space="preserve">ZERO_RESIDUAL_NO_SALE</t>
        </is>
      </c>
      <c r="U225" s="9">
        <f>C225-D225-I225-K225-Q225+S225</f>
        <v>3372432852.8702807</v>
      </c>
      <c r="V225" s="9">
        <v>0</v>
      </c>
      <c r="W225" s="9">
        <v>0</v>
      </c>
      <c r="X225" s="9">
        <f>V225-W225</f>
        <v>0</v>
      </c>
    </row>
    <row r="226">
      <c r="A226" s="0" t="inlineStr">
        <is>
          <t xml:space="preserve">VG-015</t>
        </is>
      </c>
      <c r="B226" s="23">
        <v>0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26619875000</v>
      </c>
      <c r="M226" s="9">
        <v>24301693181.81818</v>
      </c>
      <c r="N226" s="9">
        <v>2318181818.181821</v>
      </c>
      <c r="O226" s="9">
        <v>25500000000</v>
      </c>
      <c r="P226" s="9">
        <v>1119875000</v>
      </c>
      <c r="Q226" s="9">
        <v>0</v>
      </c>
      <c r="R226" s="9">
        <v>0</v>
      </c>
      <c r="S226" s="9">
        <v>0</v>
      </c>
      <c r="T226" s="0" t="inlineStr">
        <is>
          <t xml:space="preserve">ZERO_RESIDUAL_NO_SALE</t>
        </is>
      </c>
      <c r="U226" s="9">
        <f>C226-D226-I226-K226-Q226+S226</f>
        <v>0</v>
      </c>
      <c r="V226" s="9">
        <v>26619875000</v>
      </c>
      <c r="W226" s="9">
        <v>26619875000</v>
      </c>
      <c r="X226" s="9">
        <f>V226-W226</f>
        <v>0</v>
      </c>
    </row>
    <row r="227">
      <c r="A227" s="0" t="inlineStr">
        <is>
          <t xml:space="preserve">VG-015</t>
        </is>
      </c>
      <c r="B227" s="23">
        <v>1</v>
      </c>
      <c r="C227" s="9">
        <v>3606379680.0000005</v>
      </c>
      <c r="D227" s="9">
        <v>450000000</v>
      </c>
      <c r="E227" s="9">
        <v>1620112878.7878788</v>
      </c>
      <c r="F227" s="9">
        <v>1536266801.2121217</v>
      </c>
      <c r="G227" s="9">
        <v>0</v>
      </c>
      <c r="H227" s="9">
        <v>0</v>
      </c>
      <c r="I227" s="9">
        <v>307253360.24242437</v>
      </c>
      <c r="J227" s="9">
        <v>296414768.21917814</v>
      </c>
      <c r="K227" s="9">
        <v>296414768.21917814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0" t="inlineStr">
        <is>
          <t xml:space="preserve">ZERO_RESIDUAL_NO_SALE</t>
        </is>
      </c>
      <c r="U227" s="9">
        <f>C227-D227-I227-K227-Q227+S227</f>
        <v>2552711551.538398</v>
      </c>
      <c r="V227" s="9">
        <v>0</v>
      </c>
      <c r="W227" s="9">
        <v>0</v>
      </c>
      <c r="X227" s="9">
        <f>V227-W227</f>
        <v>0</v>
      </c>
    </row>
    <row r="228">
      <c r="A228" s="0" t="inlineStr">
        <is>
          <t xml:space="preserve">VG-015</t>
        </is>
      </c>
      <c r="B228" s="23">
        <v>2</v>
      </c>
      <c r="C228" s="9">
        <v>3624231259.4160004</v>
      </c>
      <c r="D228" s="9">
        <v>459000000</v>
      </c>
      <c r="E228" s="9">
        <v>1620112878.7878788</v>
      </c>
      <c r="F228" s="9">
        <v>1545118380.6281216</v>
      </c>
      <c r="G228" s="9">
        <v>0</v>
      </c>
      <c r="H228" s="9">
        <v>0</v>
      </c>
      <c r="I228" s="9">
        <v>309023676.12562436</v>
      </c>
      <c r="J228" s="9">
        <v>297882021.32186306</v>
      </c>
      <c r="K228" s="9">
        <v>1467253.102684915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0" t="inlineStr">
        <is>
          <t xml:space="preserve">ZERO_RESIDUAL_NO_SALE</t>
        </is>
      </c>
      <c r="U228" s="9">
        <f>C228-D228-I228-K228-Q228+S228</f>
        <v>2854740330.187691</v>
      </c>
      <c r="V228" s="9">
        <v>0</v>
      </c>
      <c r="W228" s="9">
        <v>0</v>
      </c>
      <c r="X228" s="9">
        <f>V228-W228</f>
        <v>0</v>
      </c>
    </row>
    <row r="229">
      <c r="A229" s="0" t="inlineStr">
        <is>
          <t xml:space="preserve">VG-015</t>
        </is>
      </c>
      <c r="B229" s="23">
        <v>3</v>
      </c>
      <c r="C229" s="9">
        <v>3642171204.1501102</v>
      </c>
      <c r="D229" s="9">
        <v>468180000</v>
      </c>
      <c r="E229" s="9">
        <v>1620112878.7878788</v>
      </c>
      <c r="F229" s="9">
        <v>1553878325.3622315</v>
      </c>
      <c r="G229" s="9">
        <v>0</v>
      </c>
      <c r="H229" s="9">
        <v>0</v>
      </c>
      <c r="I229" s="9">
        <v>310775665.0724463</v>
      </c>
      <c r="J229" s="9">
        <v>299356537.32740635</v>
      </c>
      <c r="K229" s="9">
        <v>1474516.0055432916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0" t="inlineStr">
        <is>
          <t xml:space="preserve">ZERO_RESIDUAL_NO_SALE</t>
        </is>
      </c>
      <c r="U229" s="9">
        <f>C229-D229-I229-K229-Q229+S229</f>
        <v>2861741023.0721207</v>
      </c>
      <c r="V229" s="9">
        <v>0</v>
      </c>
      <c r="W229" s="9">
        <v>0</v>
      </c>
      <c r="X229" s="9">
        <f>V229-W229</f>
        <v>0</v>
      </c>
    </row>
    <row r="230">
      <c r="A230" s="0" t="inlineStr">
        <is>
          <t xml:space="preserve">VG-015</t>
        </is>
      </c>
      <c r="B230" s="23">
        <v>4</v>
      </c>
      <c r="C230" s="9">
        <v>3660199951.610654</v>
      </c>
      <c r="D230" s="9">
        <v>477543600.00000006</v>
      </c>
      <c r="E230" s="9">
        <v>1620112878.7878788</v>
      </c>
      <c r="F230" s="9">
        <v>1562543472.8227751</v>
      </c>
      <c r="G230" s="9">
        <v>0</v>
      </c>
      <c r="H230" s="9">
        <v>0</v>
      </c>
      <c r="I230" s="9">
        <v>312508694.56455505</v>
      </c>
      <c r="J230" s="9">
        <v>300838352.187177</v>
      </c>
      <c r="K230" s="9">
        <v>1481814.8597706556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0" t="inlineStr">
        <is>
          <t xml:space="preserve">ZERO_RESIDUAL_NO_SALE</t>
        </is>
      </c>
      <c r="U230" s="9">
        <f>C230-D230-I230-K230-Q230+S230</f>
        <v>2868665842.186328</v>
      </c>
      <c r="V230" s="9">
        <v>0</v>
      </c>
      <c r="W230" s="9">
        <v>0</v>
      </c>
      <c r="X230" s="9">
        <f>V230-W230</f>
        <v>0</v>
      </c>
    </row>
    <row r="231">
      <c r="A231" s="0" t="inlineStr">
        <is>
          <t xml:space="preserve">VG-015</t>
        </is>
      </c>
      <c r="B231" s="23">
        <v>5</v>
      </c>
      <c r="C231" s="9">
        <v>3678317941.3711257</v>
      </c>
      <c r="D231" s="9">
        <v>487094472</v>
      </c>
      <c r="E231" s="9">
        <v>1620112878.7878788</v>
      </c>
      <c r="F231" s="9">
        <v>1571110590.583247</v>
      </c>
      <c r="G231" s="9">
        <v>0</v>
      </c>
      <c r="H231" s="9">
        <v>0</v>
      </c>
      <c r="I231" s="9">
        <v>314222118.1166494</v>
      </c>
      <c r="J231" s="9">
        <v>302327502.0305035</v>
      </c>
      <c r="K231" s="9">
        <v>1489149.843326509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121508465.9090909</v>
      </c>
      <c r="R231" s="9">
        <v>0</v>
      </c>
      <c r="S231" s="9">
        <v>0</v>
      </c>
      <c r="T231" s="0" t="inlineStr">
        <is>
          <t xml:space="preserve">ZERO_RESIDUAL_NO_SALE</t>
        </is>
      </c>
      <c r="U231" s="9">
        <f>C231-D231-I231-K231-Q231+S231</f>
        <v>2754003735.502059</v>
      </c>
      <c r="V231" s="9">
        <v>0</v>
      </c>
      <c r="W231" s="9">
        <v>0</v>
      </c>
      <c r="X231" s="9">
        <f>V231-W231</f>
        <v>0</v>
      </c>
    </row>
    <row r="232">
      <c r="A232" s="0" t="inlineStr">
        <is>
          <t xml:space="preserve">VG-015</t>
        </is>
      </c>
      <c r="B232" s="23">
        <v>6</v>
      </c>
      <c r="C232" s="9">
        <v>3696525615.180913</v>
      </c>
      <c r="D232" s="9">
        <v>496836361.44</v>
      </c>
      <c r="E232" s="9">
        <v>1620112878.7878788</v>
      </c>
      <c r="F232" s="9">
        <v>1579576374.9530342</v>
      </c>
      <c r="G232" s="9">
        <v>0</v>
      </c>
      <c r="H232" s="9">
        <v>0</v>
      </c>
      <c r="I232" s="9">
        <v>315915274.99060684</v>
      </c>
      <c r="J232" s="9">
        <v>303824023.16555446</v>
      </c>
      <c r="K232" s="9">
        <v>1496521.1350509524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0" t="inlineStr">
        <is>
          <t xml:space="preserve">ZERO_RESIDUAL_NO_SALE</t>
        </is>
      </c>
      <c r="U232" s="9">
        <f>C232-D232-I232-K232-Q232+S232</f>
        <v>2882277457.6152554</v>
      </c>
      <c r="V232" s="9">
        <v>0</v>
      </c>
      <c r="W232" s="9">
        <v>0</v>
      </c>
      <c r="X232" s="9">
        <f>V232-W232</f>
        <v>0</v>
      </c>
    </row>
    <row r="233">
      <c r="A233" s="0" t="inlineStr">
        <is>
          <t xml:space="preserve">VG-015</t>
        </is>
      </c>
      <c r="B233" s="23">
        <v>7</v>
      </c>
      <c r="C233" s="9">
        <v>3714823416.976059</v>
      </c>
      <c r="D233" s="9">
        <v>506773088.66880006</v>
      </c>
      <c r="E233" s="9">
        <v>1620112878.7878788</v>
      </c>
      <c r="F233" s="9">
        <v>1587937449.5193803</v>
      </c>
      <c r="G233" s="9">
        <v>0</v>
      </c>
      <c r="H233" s="9">
        <v>0</v>
      </c>
      <c r="I233" s="9">
        <v>317587489.90387607</v>
      </c>
      <c r="J233" s="9">
        <v>305327952.08022404</v>
      </c>
      <c r="K233" s="9">
        <v>1503928.9146695733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0" t="inlineStr">
        <is>
          <t xml:space="preserve">ZERO_RESIDUAL_NO_SALE</t>
        </is>
      </c>
      <c r="U233" s="9">
        <f>C233-D233-I233-K233-Q233+S233</f>
        <v>2888958909.4887137</v>
      </c>
      <c r="V233" s="9">
        <v>0</v>
      </c>
      <c r="W233" s="9">
        <v>0</v>
      </c>
      <c r="X233" s="9">
        <f>V233-W233</f>
        <v>0</v>
      </c>
    </row>
    <row r="234">
      <c r="A234" s="0" t="inlineStr">
        <is>
          <t xml:space="preserve">VG-015</t>
        </is>
      </c>
      <c r="B234" s="23">
        <v>8</v>
      </c>
      <c r="C234" s="9">
        <v>3733211792.8900895</v>
      </c>
      <c r="D234" s="9">
        <v>516908550.44217604</v>
      </c>
      <c r="E234" s="9">
        <v>1620112878.7878788</v>
      </c>
      <c r="F234" s="9">
        <v>1596190363.660035</v>
      </c>
      <c r="G234" s="9">
        <v>0</v>
      </c>
      <c r="H234" s="9">
        <v>0</v>
      </c>
      <c r="I234" s="9">
        <v>319238072.73200697</v>
      </c>
      <c r="J234" s="9">
        <v>306839325.44302106</v>
      </c>
      <c r="K234" s="9">
        <v>1511373.3627970219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0" t="inlineStr">
        <is>
          <t xml:space="preserve">ZERO_RESIDUAL_NO_SALE</t>
        </is>
      </c>
      <c r="U234" s="9">
        <f>C234-D234-I234-K234-Q234+S234</f>
        <v>2895553796.3531094</v>
      </c>
      <c r="V234" s="9">
        <v>0</v>
      </c>
      <c r="W234" s="9">
        <v>0</v>
      </c>
      <c r="X234" s="9">
        <f>V234-W234</f>
        <v>0</v>
      </c>
    </row>
    <row r="235">
      <c r="A235" s="0" t="inlineStr">
        <is>
          <t xml:space="preserve">VG-015</t>
        </is>
      </c>
      <c r="B235" s="23">
        <v>9</v>
      </c>
      <c r="C235" s="9">
        <v>3751691191.264896</v>
      </c>
      <c r="D235" s="9">
        <v>527246721.4510196</v>
      </c>
      <c r="E235" s="9">
        <v>1620112878.7878788</v>
      </c>
      <c r="F235" s="9">
        <v>1604331591.0259974</v>
      </c>
      <c r="G235" s="9">
        <v>0</v>
      </c>
      <c r="H235" s="9">
        <v>0</v>
      </c>
      <c r="I235" s="9">
        <v>320866318.2051995</v>
      </c>
      <c r="J235" s="9">
        <v>308358180.1039641</v>
      </c>
      <c r="K235" s="9">
        <v>1518854.6609430313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0" t="inlineStr">
        <is>
          <t xml:space="preserve">ZERO_RESIDUAL_NO_SALE</t>
        </is>
      </c>
      <c r="U235" s="9">
        <f>C235-D235-I235-K235-Q235+S235</f>
        <v>2902059296.947734</v>
      </c>
      <c r="V235" s="9">
        <v>0</v>
      </c>
      <c r="W235" s="9">
        <v>0</v>
      </c>
      <c r="X235" s="9">
        <f>V235-W235</f>
        <v>0</v>
      </c>
    </row>
    <row r="236">
      <c r="A236" s="0" t="inlineStr">
        <is>
          <t xml:space="preserve">VG-015</t>
        </is>
      </c>
      <c r="B236" s="23">
        <v>10</v>
      </c>
      <c r="C236" s="9">
        <v>3770262062.661656</v>
      </c>
      <c r="D236" s="9">
        <v>537791655.8800399</v>
      </c>
      <c r="E236" s="9">
        <v>1620112878.7878788</v>
      </c>
      <c r="F236" s="9">
        <v>1612357527.9937375</v>
      </c>
      <c r="G236" s="9">
        <v>0</v>
      </c>
      <c r="H236" s="9">
        <v>0</v>
      </c>
      <c r="I236" s="9">
        <v>322471505.5987475</v>
      </c>
      <c r="J236" s="9">
        <v>309884553.09547853</v>
      </c>
      <c r="K236" s="9">
        <v>1526372.9915144444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121508465.9090909</v>
      </c>
      <c r="R236" s="9">
        <v>0</v>
      </c>
      <c r="S236" s="9">
        <v>0</v>
      </c>
      <c r="T236" s="0" t="inlineStr">
        <is>
          <t xml:space="preserve">ZERO_RESIDUAL_NO_SALE</t>
        </is>
      </c>
      <c r="U236" s="9">
        <f>C236-D236-I236-K236-Q236+S236</f>
        <v>2786964062.2822638</v>
      </c>
      <c r="V236" s="9">
        <v>0</v>
      </c>
      <c r="W236" s="9">
        <v>0</v>
      </c>
      <c r="X236" s="9">
        <f>V236-W236</f>
        <v>0</v>
      </c>
    </row>
    <row r="237">
      <c r="A237" s="0" t="inlineStr">
        <is>
          <t xml:space="preserve">VG-015</t>
        </is>
      </c>
      <c r="B237" s="23">
        <v>11</v>
      </c>
      <c r="C237" s="9">
        <v>3788924859.8718324</v>
      </c>
      <c r="D237" s="9">
        <v>548547488.9976408</v>
      </c>
      <c r="E237" s="9">
        <v>1620112878.7878788</v>
      </c>
      <c r="F237" s="9">
        <v>1620264492.0863125</v>
      </c>
      <c r="G237" s="9">
        <v>0</v>
      </c>
      <c r="H237" s="9">
        <v>0</v>
      </c>
      <c r="I237" s="9">
        <v>324052898.41726255</v>
      </c>
      <c r="J237" s="9">
        <v>311418481.63330126</v>
      </c>
      <c r="K237" s="9">
        <v>1533928.5378227234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0" t="inlineStr">
        <is>
          <t xml:space="preserve">ZERO_RESIDUAL_NO_SALE</t>
        </is>
      </c>
      <c r="U237" s="9">
        <f>C237-D237-I237-K237-Q237+S237</f>
        <v>2914790543.919106</v>
      </c>
      <c r="V237" s="9">
        <v>0</v>
      </c>
      <c r="W237" s="9">
        <v>0</v>
      </c>
      <c r="X237" s="9">
        <f>V237-W237</f>
        <v>0</v>
      </c>
    </row>
    <row r="238">
      <c r="A238" s="0" t="inlineStr">
        <is>
          <t xml:space="preserve">VG-015</t>
        </is>
      </c>
      <c r="B238" s="23">
        <v>12</v>
      </c>
      <c r="C238" s="9">
        <v>3807680037.9281974</v>
      </c>
      <c r="D238" s="9">
        <v>559518438.7775936</v>
      </c>
      <c r="E238" s="9">
        <v>1620112878.7878788</v>
      </c>
      <c r="F238" s="9">
        <v>1628048720.362725</v>
      </c>
      <c r="G238" s="9">
        <v>0</v>
      </c>
      <c r="H238" s="9">
        <v>0</v>
      </c>
      <c r="I238" s="9">
        <v>325609744.07254505</v>
      </c>
      <c r="J238" s="9">
        <v>312960003.1173861</v>
      </c>
      <c r="K238" s="9">
        <v>1541521.4840848446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0" t="inlineStr">
        <is>
          <t xml:space="preserve">ZERO_RESIDUAL_NO_SALE</t>
        </is>
      </c>
      <c r="U238" s="9">
        <f>C238-D238-I238-K238-Q238+S238</f>
        <v>2921010333.593974</v>
      </c>
      <c r="V238" s="9">
        <v>0</v>
      </c>
      <c r="W238" s="9">
        <v>0</v>
      </c>
      <c r="X238" s="9">
        <f>V238-W238</f>
        <v>0</v>
      </c>
    </row>
    <row r="239">
      <c r="A239" s="0" t="inlineStr">
        <is>
          <t xml:space="preserve">VG-015</t>
        </is>
      </c>
      <c r="B239" s="23">
        <v>13</v>
      </c>
      <c r="C239" s="9">
        <v>3826528054.115942</v>
      </c>
      <c r="D239" s="9">
        <v>570708807.5531455</v>
      </c>
      <c r="E239" s="9">
        <v>1620112878.7878788</v>
      </c>
      <c r="F239" s="9">
        <v>1635706367.7749178</v>
      </c>
      <c r="G239" s="9">
        <v>0</v>
      </c>
      <c r="H239" s="9">
        <v>0</v>
      </c>
      <c r="I239" s="9">
        <v>327141273.5549836</v>
      </c>
      <c r="J239" s="9">
        <v>314509155.13281715</v>
      </c>
      <c r="K239" s="9">
        <v>1549152.0154310465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0" t="inlineStr">
        <is>
          <t xml:space="preserve">ZERO_RESIDUAL_NO_SALE</t>
        </is>
      </c>
      <c r="U239" s="9">
        <f>C239-D239-I239-K239-Q239+S239</f>
        <v>2927128820.992382</v>
      </c>
      <c r="V239" s="9">
        <v>0</v>
      </c>
      <c r="W239" s="9">
        <v>0</v>
      </c>
      <c r="X239" s="9">
        <f>V239-W239</f>
        <v>0</v>
      </c>
    </row>
    <row r="240">
      <c r="A240" s="0" t="inlineStr">
        <is>
          <t xml:space="preserve">VG-015</t>
        </is>
      </c>
      <c r="B240" s="23">
        <v>14</v>
      </c>
      <c r="C240" s="9">
        <v>3845469367.983816</v>
      </c>
      <c r="D240" s="9">
        <v>582122983.7042085</v>
      </c>
      <c r="E240" s="9">
        <v>1620112878.7878788</v>
      </c>
      <c r="F240" s="9">
        <v>1643233505.491729</v>
      </c>
      <c r="G240" s="9">
        <v>0</v>
      </c>
      <c r="H240" s="9">
        <v>0</v>
      </c>
      <c r="I240" s="9">
        <v>328646701.0983458</v>
      </c>
      <c r="J240" s="9">
        <v>316065975.4507246</v>
      </c>
      <c r="K240" s="9">
        <v>1556820.3179074526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0" t="inlineStr">
        <is>
          <t xml:space="preserve">ZERO_RESIDUAL_NO_SALE</t>
        </is>
      </c>
      <c r="U240" s="9">
        <f>C240-D240-I240-K240-Q240+S240</f>
        <v>2933142862.8633547</v>
      </c>
      <c r="V240" s="9">
        <v>0</v>
      </c>
      <c r="W240" s="9">
        <v>0</v>
      </c>
      <c r="X240" s="9">
        <f>V240-W240</f>
        <v>0</v>
      </c>
    </row>
    <row r="241">
      <c r="A241" s="0" t="inlineStr">
        <is>
          <t xml:space="preserve">VG-015</t>
        </is>
      </c>
      <c r="B241" s="23">
        <v>15</v>
      </c>
      <c r="C241" s="9">
        <v>3864504441.355337</v>
      </c>
      <c r="D241" s="9">
        <v>593765443.3782926</v>
      </c>
      <c r="E241" s="9">
        <v>1620112878.7878788</v>
      </c>
      <c r="F241" s="9">
        <v>1650626119.1891658</v>
      </c>
      <c r="G241" s="9">
        <v>0</v>
      </c>
      <c r="H241" s="9">
        <v>0</v>
      </c>
      <c r="I241" s="9">
        <v>330125223.83783317</v>
      </c>
      <c r="J241" s="9">
        <v>0</v>
      </c>
      <c r="K241" s="9">
        <v>-316065975.4507246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316065975.4507246</v>
      </c>
      <c r="T241" s="0" t="inlineStr">
        <is>
          <t xml:space="preserve">ZERO_RESIDUAL_NO_SALE</t>
        </is>
      </c>
      <c r="U241" s="9">
        <f>C241-D241-I241-K241-Q241+S241</f>
        <v>3256679749.5899363</v>
      </c>
      <c r="V241" s="9">
        <v>0</v>
      </c>
      <c r="W241" s="9">
        <v>0</v>
      </c>
      <c r="X241" s="9">
        <f>V241-W241</f>
        <v>0</v>
      </c>
    </row>
    <row r="242">
      <c r="A242" s="0" t="inlineStr">
        <is>
          <t xml:space="preserve">VG-016</t>
        </is>
      </c>
      <c r="B242" s="23">
        <v>0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22183229166.666668</v>
      </c>
      <c r="M242" s="9">
        <v>20251410984.848484</v>
      </c>
      <c r="N242" s="9">
        <v>1931818181.8181825</v>
      </c>
      <c r="O242" s="9">
        <v>21250000000</v>
      </c>
      <c r="P242" s="9">
        <v>933229166.6666667</v>
      </c>
      <c r="Q242" s="9">
        <v>0</v>
      </c>
      <c r="R242" s="9">
        <v>0</v>
      </c>
      <c r="S242" s="9">
        <v>0</v>
      </c>
      <c r="T242" s="0" t="inlineStr">
        <is>
          <t xml:space="preserve">ZERO_RESIDUAL_NO_SALE</t>
        </is>
      </c>
      <c r="U242" s="9">
        <f>C242-D242-I242-K242-Q242+S242</f>
        <v>0</v>
      </c>
      <c r="V242" s="9">
        <v>22183229166.666668</v>
      </c>
      <c r="W242" s="9">
        <v>22183229166.666668</v>
      </c>
      <c r="X242" s="9">
        <f>V242-W242</f>
        <v>0</v>
      </c>
    </row>
    <row r="243">
      <c r="A243" s="0" t="inlineStr">
        <is>
          <t xml:space="preserve">VG-016</t>
        </is>
      </c>
      <c r="B243" s="23">
        <v>1</v>
      </c>
      <c r="C243" s="9">
        <v>3224393999.9999995</v>
      </c>
      <c r="D243" s="9">
        <v>375000000</v>
      </c>
      <c r="E243" s="9">
        <v>1350094065.6565657</v>
      </c>
      <c r="F243" s="9">
        <v>1499299934.3434339</v>
      </c>
      <c r="G243" s="9">
        <v>0</v>
      </c>
      <c r="H243" s="9">
        <v>0</v>
      </c>
      <c r="I243" s="9">
        <v>299859986.8686868</v>
      </c>
      <c r="J243" s="9">
        <v>265018684.9315068</v>
      </c>
      <c r="K243" s="9">
        <v>265018684.9315068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0" t="inlineStr">
        <is>
          <t xml:space="preserve">ZERO_RESIDUAL_NO_SALE</t>
        </is>
      </c>
      <c r="U243" s="9">
        <f>C243-D243-I243-K243-Q243+S243</f>
        <v>2284515328.199806</v>
      </c>
      <c r="V243" s="9">
        <v>0</v>
      </c>
      <c r="W243" s="9">
        <v>0</v>
      </c>
      <c r="X243" s="9">
        <f>V243-W243</f>
        <v>0</v>
      </c>
    </row>
    <row r="244">
      <c r="A244" s="0" t="inlineStr">
        <is>
          <t xml:space="preserve">VG-016</t>
        </is>
      </c>
      <c r="B244" s="23">
        <v>2</v>
      </c>
      <c r="C244" s="9">
        <v>3240354750.2999997</v>
      </c>
      <c r="D244" s="9">
        <v>382500000</v>
      </c>
      <c r="E244" s="9">
        <v>1350094065.6565657</v>
      </c>
      <c r="F244" s="9">
        <v>1507760684.643434</v>
      </c>
      <c r="G244" s="9">
        <v>0</v>
      </c>
      <c r="H244" s="9">
        <v>0</v>
      </c>
      <c r="I244" s="9">
        <v>301552136.9286868</v>
      </c>
      <c r="J244" s="9">
        <v>266330527.42191777</v>
      </c>
      <c r="K244" s="9">
        <v>1311842.4904109538</v>
      </c>
      <c r="L244" s="9">
        <v>0</v>
      </c>
      <c r="M244" s="9">
        <v>0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0" t="inlineStr">
        <is>
          <t xml:space="preserve">ZERO_RESIDUAL_NO_SALE</t>
        </is>
      </c>
      <c r="U244" s="9">
        <f>C244-D244-I244-K244-Q244+S244</f>
        <v>2554990770.8809023</v>
      </c>
      <c r="V244" s="9">
        <v>0</v>
      </c>
      <c r="W244" s="9">
        <v>0</v>
      </c>
      <c r="X244" s="9">
        <f>V244-W244</f>
        <v>0</v>
      </c>
    </row>
    <row r="245">
      <c r="A245" s="0" t="inlineStr">
        <is>
          <t xml:space="preserve">VG-016</t>
        </is>
      </c>
      <c r="B245" s="23">
        <v>3</v>
      </c>
      <c r="C245" s="9">
        <v>3256394506.313985</v>
      </c>
      <c r="D245" s="9">
        <v>390150000</v>
      </c>
      <c r="E245" s="9">
        <v>1350094065.6565657</v>
      </c>
      <c r="F245" s="9">
        <v>1516150440.6574192</v>
      </c>
      <c r="G245" s="9">
        <v>0</v>
      </c>
      <c r="H245" s="9">
        <v>0</v>
      </c>
      <c r="I245" s="9">
        <v>303230088.13148385</v>
      </c>
      <c r="J245" s="9">
        <v>267648863.53265628</v>
      </c>
      <c r="K245" s="9">
        <v>1318336.1107385159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0" t="inlineStr">
        <is>
          <t xml:space="preserve">ZERO_RESIDUAL_NO_SALE</t>
        </is>
      </c>
      <c r="U245" s="9">
        <f>C245-D245-I245-K245-Q245+S245</f>
        <v>2561696082.071762</v>
      </c>
      <c r="V245" s="9">
        <v>0</v>
      </c>
      <c r="W245" s="9">
        <v>0</v>
      </c>
      <c r="X245" s="9">
        <f>V245-W245</f>
        <v>0</v>
      </c>
    </row>
    <row r="246">
      <c r="A246" s="0" t="inlineStr">
        <is>
          <t xml:space="preserve">VG-016</t>
        </is>
      </c>
      <c r="B246" s="23">
        <v>4</v>
      </c>
      <c r="C246" s="9">
        <v>3272513659.1202393</v>
      </c>
      <c r="D246" s="9">
        <v>397953000.00000006</v>
      </c>
      <c r="E246" s="9">
        <v>1350094065.6565657</v>
      </c>
      <c r="F246" s="9">
        <v>1524466593.4636736</v>
      </c>
      <c r="G246" s="9">
        <v>0</v>
      </c>
      <c r="H246" s="9">
        <v>0</v>
      </c>
      <c r="I246" s="9">
        <v>304893318.6927347</v>
      </c>
      <c r="J246" s="9">
        <v>268973725.40714294</v>
      </c>
      <c r="K246" s="9">
        <v>1324861.874486655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0" t="inlineStr">
        <is>
          <t xml:space="preserve">ZERO_RESIDUAL_NO_SALE</t>
        </is>
      </c>
      <c r="U246" s="9">
        <f>C246-D246-I246-K246-Q246+S246</f>
        <v>2568342478.553018</v>
      </c>
      <c r="V246" s="9">
        <v>0</v>
      </c>
      <c r="W246" s="9">
        <v>0</v>
      </c>
      <c r="X246" s="9">
        <f>V246-W246</f>
        <v>0</v>
      </c>
    </row>
    <row r="247">
      <c r="A247" s="0" t="inlineStr">
        <is>
          <t xml:space="preserve">VG-016</t>
        </is>
      </c>
      <c r="B247" s="23">
        <v>5</v>
      </c>
      <c r="C247" s="9">
        <v>3288712601.732884</v>
      </c>
      <c r="D247" s="9">
        <v>405912060</v>
      </c>
      <c r="E247" s="9">
        <v>1350094065.6565657</v>
      </c>
      <c r="F247" s="9">
        <v>1532706476.0763183</v>
      </c>
      <c r="G247" s="9">
        <v>0</v>
      </c>
      <c r="H247" s="9">
        <v>0</v>
      </c>
      <c r="I247" s="9">
        <v>306541295.21526366</v>
      </c>
      <c r="J247" s="9">
        <v>270305145.34790826</v>
      </c>
      <c r="K247" s="9">
        <v>1331419.9407653213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101257054.92424242</v>
      </c>
      <c r="R247" s="9">
        <v>0</v>
      </c>
      <c r="S247" s="9">
        <v>0</v>
      </c>
      <c r="T247" s="0" t="inlineStr">
        <is>
          <t xml:space="preserve">ZERO_RESIDUAL_NO_SALE</t>
        </is>
      </c>
      <c r="U247" s="9">
        <f>C247-D247-I247-K247-Q247+S247</f>
        <v>2473670771.652612</v>
      </c>
      <c r="V247" s="9">
        <v>0</v>
      </c>
      <c r="W247" s="9">
        <v>0</v>
      </c>
      <c r="X247" s="9">
        <f>V247-W247</f>
        <v>0</v>
      </c>
    </row>
    <row r="248">
      <c r="A248" s="0" t="inlineStr">
        <is>
          <t xml:space="preserve">VG-016</t>
        </is>
      </c>
      <c r="B248" s="23">
        <v>6</v>
      </c>
      <c r="C248" s="9">
        <v>3304991729.111462</v>
      </c>
      <c r="D248" s="9">
        <v>414030301.2</v>
      </c>
      <c r="E248" s="9">
        <v>1350094065.6565657</v>
      </c>
      <c r="F248" s="9">
        <v>1540867362.2548966</v>
      </c>
      <c r="G248" s="9">
        <v>0</v>
      </c>
      <c r="H248" s="9">
        <v>0</v>
      </c>
      <c r="I248" s="9">
        <v>308173472.45097935</v>
      </c>
      <c r="J248" s="9">
        <v>271643155.8173804</v>
      </c>
      <c r="K248" s="9">
        <v>1338010.4694721699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0" t="inlineStr">
        <is>
          <t xml:space="preserve">ZERO_RESIDUAL_NO_SALE</t>
        </is>
      </c>
      <c r="U248" s="9">
        <f>C248-D248-I248-K248-Q248+S248</f>
        <v>2581449944.9910107</v>
      </c>
      <c r="V248" s="9">
        <v>0</v>
      </c>
      <c r="W248" s="9">
        <v>0</v>
      </c>
      <c r="X248" s="9">
        <f>V248-W248</f>
        <v>0</v>
      </c>
    </row>
    <row r="249">
      <c r="A249" s="0" t="inlineStr">
        <is>
          <t xml:space="preserve">VG-016</t>
        </is>
      </c>
      <c r="B249" s="23">
        <v>7</v>
      </c>
      <c r="C249" s="9">
        <v>3321351438.170564</v>
      </c>
      <c r="D249" s="9">
        <v>422310907.22400004</v>
      </c>
      <c r="E249" s="9">
        <v>1350094065.6565657</v>
      </c>
      <c r="F249" s="9">
        <v>1548946465.2899985</v>
      </c>
      <c r="G249" s="9">
        <v>0</v>
      </c>
      <c r="H249" s="9">
        <v>0</v>
      </c>
      <c r="I249" s="9">
        <v>309789293.05799973</v>
      </c>
      <c r="J249" s="9">
        <v>272987789.43867654</v>
      </c>
      <c r="K249" s="9">
        <v>1344633.6212961078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0" t="inlineStr">
        <is>
          <t xml:space="preserve">ZERO_RESIDUAL_NO_SALE</t>
        </is>
      </c>
      <c r="U249" s="9">
        <f>C249-D249-I249-K249-Q249+S249</f>
        <v>2587906604.2672687</v>
      </c>
      <c r="V249" s="9">
        <v>0</v>
      </c>
      <c r="W249" s="9">
        <v>0</v>
      </c>
      <c r="X249" s="9">
        <f>V249-W249</f>
        <v>0</v>
      </c>
    </row>
    <row r="250">
      <c r="A250" s="0" t="inlineStr">
        <is>
          <t xml:space="preserve">VG-016</t>
        </is>
      </c>
      <c r="B250" s="23">
        <v>8</v>
      </c>
      <c r="C250" s="9">
        <v>3337792127.789508</v>
      </c>
      <c r="D250" s="9">
        <v>430757125.36848</v>
      </c>
      <c r="E250" s="9">
        <v>1350094065.6565657</v>
      </c>
      <c r="F250" s="9">
        <v>1556940936.764462</v>
      </c>
      <c r="G250" s="9">
        <v>0</v>
      </c>
      <c r="H250" s="9">
        <v>0</v>
      </c>
      <c r="I250" s="9">
        <v>311388187.3528924</v>
      </c>
      <c r="J250" s="9">
        <v>274339078.9963979</v>
      </c>
      <c r="K250" s="9">
        <v>1351289.5577213764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0" t="inlineStr">
        <is>
          <t xml:space="preserve">ZERO_RESIDUAL_NO_SALE</t>
        </is>
      </c>
      <c r="U250" s="9">
        <f>C250-D250-I250-K250-Q250+S250</f>
        <v>2594295525.510414</v>
      </c>
      <c r="V250" s="9">
        <v>0</v>
      </c>
      <c r="W250" s="9">
        <v>0</v>
      </c>
      <c r="X250" s="9">
        <f>V250-W250</f>
        <v>0</v>
      </c>
    </row>
    <row r="251">
      <c r="A251" s="0" t="inlineStr">
        <is>
          <t xml:space="preserve">VG-016</t>
        </is>
      </c>
      <c r="B251" s="23">
        <v>9</v>
      </c>
      <c r="C251" s="9">
        <v>0</v>
      </c>
      <c r="D251" s="9">
        <v>439372267.87584966</v>
      </c>
      <c r="E251" s="9">
        <v>0</v>
      </c>
      <c r="F251" s="9">
        <v>-439372267.87584966</v>
      </c>
      <c r="G251" s="9">
        <v>0</v>
      </c>
      <c r="H251" s="9">
        <v>439372267.87584966</v>
      </c>
      <c r="I251" s="9">
        <v>0</v>
      </c>
      <c r="J251" s="9">
        <v>0</v>
      </c>
      <c r="K251" s="9">
        <v>-274339078.9963979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0" t="inlineStr">
        <is>
          <t xml:space="preserve">ZERO_RESIDUAL_NO_SALE</t>
        </is>
      </c>
      <c r="U251" s="9">
        <f>C251-D251-I251-K251-Q251+S251</f>
        <v>-165033188.87945175</v>
      </c>
      <c r="V251" s="9">
        <v>0</v>
      </c>
      <c r="W251" s="9">
        <v>0</v>
      </c>
      <c r="X251" s="9">
        <f>V251-W251</f>
        <v>0</v>
      </c>
    </row>
    <row r="252">
      <c r="A252" s="0" t="inlineStr">
        <is>
          <t xml:space="preserve">VG-016</t>
        </is>
      </c>
      <c r="B252" s="23">
        <v>10</v>
      </c>
      <c r="C252" s="9">
        <v>0</v>
      </c>
      <c r="D252" s="9">
        <v>448159713.23336667</v>
      </c>
      <c r="E252" s="9">
        <v>0</v>
      </c>
      <c r="F252" s="9">
        <v>-448159713.23336667</v>
      </c>
      <c r="G252" s="9">
        <v>439372267.87584966</v>
      </c>
      <c r="H252" s="9">
        <v>887531981.1092163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101257054.92424242</v>
      </c>
      <c r="R252" s="9">
        <v>0</v>
      </c>
      <c r="S252" s="9">
        <v>0</v>
      </c>
      <c r="T252" s="0" t="inlineStr">
        <is>
          <t xml:space="preserve">ZERO_RESIDUAL_NO_SALE</t>
        </is>
      </c>
      <c r="U252" s="9">
        <f>C252-D252-I252-K252-Q252+S252</f>
        <v>-549416768.1576091</v>
      </c>
      <c r="V252" s="9">
        <v>0</v>
      </c>
      <c r="W252" s="9">
        <v>0</v>
      </c>
      <c r="X252" s="9">
        <f>V252-W252</f>
        <v>0</v>
      </c>
    </row>
    <row r="253">
      <c r="A253" s="0" t="inlineStr">
        <is>
          <t xml:space="preserve">VG-016</t>
        </is>
      </c>
      <c r="B253" s="23">
        <v>11</v>
      </c>
      <c r="C253" s="9">
        <v>0</v>
      </c>
      <c r="D253" s="9">
        <v>457122907.498034</v>
      </c>
      <c r="E253" s="9">
        <v>0</v>
      </c>
      <c r="F253" s="9">
        <v>-457122907.498034</v>
      </c>
      <c r="G253" s="9">
        <v>887531981.1092163</v>
      </c>
      <c r="H253" s="9">
        <v>1344654888.6072502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0" t="inlineStr">
        <is>
          <t xml:space="preserve">ZERO_RESIDUAL_NO_SALE</t>
        </is>
      </c>
      <c r="U253" s="9">
        <f>C253-D253-I253-K253-Q253+S253</f>
        <v>-457122907.498034</v>
      </c>
      <c r="V253" s="9">
        <v>0</v>
      </c>
      <c r="W253" s="9">
        <v>0</v>
      </c>
      <c r="X253" s="9">
        <f>V253-W253</f>
        <v>0</v>
      </c>
    </row>
    <row r="254">
      <c r="A254" s="0" t="inlineStr">
        <is>
          <t xml:space="preserve">VG-016</t>
        </is>
      </c>
      <c r="B254" s="23">
        <v>12</v>
      </c>
      <c r="C254" s="9">
        <v>0</v>
      </c>
      <c r="D254" s="9">
        <v>466265365.6479947</v>
      </c>
      <c r="E254" s="9">
        <v>0</v>
      </c>
      <c r="F254" s="9">
        <v>-466265365.6479947</v>
      </c>
      <c r="G254" s="9">
        <v>1344654888.6072502</v>
      </c>
      <c r="H254" s="9">
        <v>1810920254.255245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0" t="inlineStr">
        <is>
          <t xml:space="preserve">ZERO_RESIDUAL_NO_SALE</t>
        </is>
      </c>
      <c r="U254" s="9">
        <f>C254-D254-I254-K254-Q254+S254</f>
        <v>-466265365.6479947</v>
      </c>
      <c r="V254" s="9">
        <v>0</v>
      </c>
      <c r="W254" s="9">
        <v>0</v>
      </c>
      <c r="X254" s="9">
        <f>V254-W254</f>
        <v>0</v>
      </c>
    </row>
    <row r="255">
      <c r="A255" s="0" t="inlineStr">
        <is>
          <t xml:space="preserve">VG-016</t>
        </is>
      </c>
      <c r="B255" s="23">
        <v>13</v>
      </c>
      <c r="C255" s="9">
        <v>0</v>
      </c>
      <c r="D255" s="9">
        <v>475590672.96095455</v>
      </c>
      <c r="E255" s="9">
        <v>0</v>
      </c>
      <c r="F255" s="9">
        <v>-475590672.96095455</v>
      </c>
      <c r="G255" s="9">
        <v>1810920254.255245</v>
      </c>
      <c r="H255" s="9">
        <v>2286510927.2161994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0" t="inlineStr">
        <is>
          <t xml:space="preserve">ZERO_RESIDUAL_NO_SALE</t>
        </is>
      </c>
      <c r="U255" s="9">
        <f>C255-D255-I255-K255-Q255+S255</f>
        <v>-475590672.96095455</v>
      </c>
      <c r="V255" s="9">
        <v>0</v>
      </c>
      <c r="W255" s="9">
        <v>0</v>
      </c>
      <c r="X255" s="9">
        <f>V255-W255</f>
        <v>0</v>
      </c>
    </row>
    <row r="256">
      <c r="A256" s="0" t="inlineStr">
        <is>
          <t xml:space="preserve">VG-016</t>
        </is>
      </c>
      <c r="B256" s="23">
        <v>14</v>
      </c>
      <c r="C256" s="9">
        <v>0</v>
      </c>
      <c r="D256" s="9">
        <v>485102486.4201737</v>
      </c>
      <c r="E256" s="9">
        <v>0</v>
      </c>
      <c r="F256" s="9">
        <v>-485102486.4201737</v>
      </c>
      <c r="G256" s="9">
        <v>2286510927.2161994</v>
      </c>
      <c r="H256" s="9">
        <v>2771613413.636373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0" t="inlineStr">
        <is>
          <t xml:space="preserve">ZERO_RESIDUAL_NO_SALE</t>
        </is>
      </c>
      <c r="U256" s="9">
        <f>C256-D256-I256-K256-Q256+S256</f>
        <v>-485102486.4201737</v>
      </c>
      <c r="V256" s="9">
        <v>0</v>
      </c>
      <c r="W256" s="9">
        <v>0</v>
      </c>
      <c r="X256" s="9">
        <f>V256-W256</f>
        <v>0</v>
      </c>
    </row>
    <row r="257">
      <c r="A257" s="0" t="inlineStr">
        <is>
          <t xml:space="preserve">VG-016</t>
        </is>
      </c>
      <c r="B257" s="23">
        <v>15</v>
      </c>
      <c r="C257" s="9">
        <v>0</v>
      </c>
      <c r="D257" s="9">
        <v>494804536.14857715</v>
      </c>
      <c r="E257" s="9">
        <v>0</v>
      </c>
      <c r="F257" s="9">
        <v>-494804536.14857715</v>
      </c>
      <c r="G257" s="9">
        <v>2771613413.636373</v>
      </c>
      <c r="H257" s="9">
        <v>3266417949.7849503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0" t="inlineStr">
        <is>
          <t xml:space="preserve">ZERO_RESIDUAL_NO_SALE</t>
        </is>
      </c>
      <c r="U257" s="9">
        <f>C257-D257-I257-K257-Q257+S257</f>
        <v>-494804536.14857715</v>
      </c>
      <c r="V257" s="9">
        <v>0</v>
      </c>
      <c r="W257" s="9">
        <v>0</v>
      </c>
      <c r="X257" s="9">
        <f>V257-W257</f>
        <v>0</v>
      </c>
    </row>
    <row r="258">
      <c r="A258" s="0" t="inlineStr">
        <is>
          <t xml:space="preserve">VG-017</t>
        </is>
      </c>
      <c r="B258" s="23">
        <v>0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26619875000</v>
      </c>
      <c r="M258" s="9">
        <v>24301693181.81818</v>
      </c>
      <c r="N258" s="9">
        <v>2318181818.181821</v>
      </c>
      <c r="O258" s="9">
        <v>25500000000</v>
      </c>
      <c r="P258" s="9">
        <v>1119875000</v>
      </c>
      <c r="Q258" s="9">
        <v>0</v>
      </c>
      <c r="R258" s="9">
        <v>0</v>
      </c>
      <c r="S258" s="9">
        <v>0</v>
      </c>
      <c r="T258" s="0" t="inlineStr">
        <is>
          <t xml:space="preserve">ZERO_RESIDUAL_NO_SALE</t>
        </is>
      </c>
      <c r="U258" s="9">
        <f>C258-D258-I258-K258-Q258+S258</f>
        <v>0</v>
      </c>
      <c r="V258" s="9">
        <v>26619875000</v>
      </c>
      <c r="W258" s="9">
        <v>26619875000</v>
      </c>
      <c r="X258" s="9">
        <f>V258-W258</f>
        <v>0</v>
      </c>
    </row>
    <row r="259">
      <c r="A259" s="0" t="inlineStr">
        <is>
          <t xml:space="preserve">VG-017</t>
        </is>
      </c>
      <c r="B259" s="23">
        <v>1</v>
      </c>
      <c r="C259" s="9">
        <v>3555446400</v>
      </c>
      <c r="D259" s="9">
        <v>450000000</v>
      </c>
      <c r="E259" s="9">
        <v>1620112878.7878788</v>
      </c>
      <c r="F259" s="9">
        <v>1485333521.2121212</v>
      </c>
      <c r="G259" s="9">
        <v>0</v>
      </c>
      <c r="H259" s="9">
        <v>0</v>
      </c>
      <c r="I259" s="9">
        <v>297066704.24242425</v>
      </c>
      <c r="J259" s="9">
        <v>292228471.2328767</v>
      </c>
      <c r="K259" s="9">
        <v>292228471.2328767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0" t="inlineStr">
        <is>
          <t xml:space="preserve">ZERO_RESIDUAL_NO_SALE</t>
        </is>
      </c>
      <c r="U259" s="9">
        <f>C259-D259-I259-K259-Q259+S259</f>
        <v>2516151224.524699</v>
      </c>
      <c r="V259" s="9">
        <v>0</v>
      </c>
      <c r="W259" s="9">
        <v>0</v>
      </c>
      <c r="X259" s="9">
        <f>V259-W259</f>
        <v>0</v>
      </c>
    </row>
    <row r="260">
      <c r="A260" s="0" t="inlineStr">
        <is>
          <t xml:space="preserve">VG-017</t>
        </is>
      </c>
      <c r="B260" s="23">
        <v>2</v>
      </c>
      <c r="C260" s="9">
        <v>3573045859.68</v>
      </c>
      <c r="D260" s="9">
        <v>459000000</v>
      </c>
      <c r="E260" s="9">
        <v>1620112878.7878788</v>
      </c>
      <c r="F260" s="9">
        <v>1493932980.892121</v>
      </c>
      <c r="G260" s="9">
        <v>0</v>
      </c>
      <c r="H260" s="9">
        <v>0</v>
      </c>
      <c r="I260" s="9">
        <v>298786596.17842424</v>
      </c>
      <c r="J260" s="9">
        <v>293675002.1654794</v>
      </c>
      <c r="K260" s="9">
        <v>1446530.9326027036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0" t="inlineStr">
        <is>
          <t xml:space="preserve">ZERO_RESIDUAL_NO_SALE</t>
        </is>
      </c>
      <c r="U260" s="9">
        <f>C260-D260-I260-K260-Q260+S260</f>
        <v>2813812732.5689726</v>
      </c>
      <c r="V260" s="9">
        <v>0</v>
      </c>
      <c r="W260" s="9">
        <v>0</v>
      </c>
      <c r="X260" s="9">
        <f>V260-W260</f>
        <v>0</v>
      </c>
    </row>
    <row r="261">
      <c r="A261" s="0" t="inlineStr">
        <is>
          <t xml:space="preserve">VG-017</t>
        </is>
      </c>
      <c r="B261" s="23">
        <v>3</v>
      </c>
      <c r="C261" s="9">
        <v>3590732436.6854157</v>
      </c>
      <c r="D261" s="9">
        <v>468180000</v>
      </c>
      <c r="E261" s="9">
        <v>1620112878.7878788</v>
      </c>
      <c r="F261" s="9">
        <v>1502439557.897537</v>
      </c>
      <c r="G261" s="9">
        <v>0</v>
      </c>
      <c r="H261" s="9">
        <v>0</v>
      </c>
      <c r="I261" s="9">
        <v>300487911.5795074</v>
      </c>
      <c r="J261" s="9">
        <v>295128693.42619854</v>
      </c>
      <c r="K261" s="9">
        <v>1453691.2607191205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0" t="inlineStr">
        <is>
          <t xml:space="preserve">ZERO_RESIDUAL_NO_SALE</t>
        </is>
      </c>
      <c r="U261" s="9">
        <f>C261-D261-I261-K261-Q261+S261</f>
        <v>2820610833.845189</v>
      </c>
      <c r="V261" s="9">
        <v>0</v>
      </c>
      <c r="W261" s="9">
        <v>0</v>
      </c>
      <c r="X261" s="9">
        <f>V261-W261</f>
        <v>0</v>
      </c>
    </row>
    <row r="262">
      <c r="A262" s="0" t="inlineStr">
        <is>
          <t xml:space="preserve">VG-017</t>
        </is>
      </c>
      <c r="B262" s="23">
        <v>4</v>
      </c>
      <c r="C262" s="9">
        <v>3608506562.247009</v>
      </c>
      <c r="D262" s="9">
        <v>477543600.00000006</v>
      </c>
      <c r="E262" s="9">
        <v>1620112878.7878788</v>
      </c>
      <c r="F262" s="9">
        <v>1510850083.45913</v>
      </c>
      <c r="G262" s="9">
        <v>0</v>
      </c>
      <c r="H262" s="9">
        <v>0</v>
      </c>
      <c r="I262" s="9">
        <v>302170016.69182605</v>
      </c>
      <c r="J262" s="9">
        <v>296589580.4586583</v>
      </c>
      <c r="K262" s="9">
        <v>1460887.0324597359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0" t="inlineStr">
        <is>
          <t xml:space="preserve">ZERO_RESIDUAL_NO_SALE</t>
        </is>
      </c>
      <c r="U262" s="9">
        <f>C262-D262-I262-K262-Q262+S262</f>
        <v>2827332058.522723</v>
      </c>
      <c r="V262" s="9">
        <v>0</v>
      </c>
      <c r="W262" s="9">
        <v>0</v>
      </c>
      <c r="X262" s="9">
        <f>V262-W262</f>
        <v>0</v>
      </c>
    </row>
    <row r="263">
      <c r="A263" s="0" t="inlineStr">
        <is>
          <t xml:space="preserve">VG-017</t>
        </is>
      </c>
      <c r="B263" s="23">
        <v>5</v>
      </c>
      <c r="C263" s="9">
        <v>3626368669.730131</v>
      </c>
      <c r="D263" s="9">
        <v>487094472</v>
      </c>
      <c r="E263" s="9">
        <v>1620112878.7878788</v>
      </c>
      <c r="F263" s="9">
        <v>1519161318.9422524</v>
      </c>
      <c r="G263" s="9">
        <v>0</v>
      </c>
      <c r="H263" s="9">
        <v>0</v>
      </c>
      <c r="I263" s="9">
        <v>303832263.7884505</v>
      </c>
      <c r="J263" s="9">
        <v>298057698.88192856</v>
      </c>
      <c r="K263" s="9">
        <v>1468118.4232702851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121508465.9090909</v>
      </c>
      <c r="R263" s="9">
        <v>0</v>
      </c>
      <c r="S263" s="9">
        <v>0</v>
      </c>
      <c r="T263" s="0" t="inlineStr">
        <is>
          <t xml:space="preserve">ZERO_RESIDUAL_NO_SALE</t>
        </is>
      </c>
      <c r="U263" s="9">
        <f>C263-D263-I263-K263-Q263+S263</f>
        <v>2712465349.6093197</v>
      </c>
      <c r="V263" s="9">
        <v>0</v>
      </c>
      <c r="W263" s="9">
        <v>0</v>
      </c>
      <c r="X263" s="9">
        <f>V263-W263</f>
        <v>0</v>
      </c>
    </row>
    <row r="264">
      <c r="A264" s="0" t="inlineStr">
        <is>
          <t xml:space="preserve">VG-017</t>
        </is>
      </c>
      <c r="B264" s="23">
        <v>6</v>
      </c>
      <c r="C264" s="9">
        <v>3644319194.645296</v>
      </c>
      <c r="D264" s="9">
        <v>496836361.44</v>
      </c>
      <c r="E264" s="9">
        <v>1620112878.7878788</v>
      </c>
      <c r="F264" s="9">
        <v>1527369954.4174173</v>
      </c>
      <c r="G264" s="9">
        <v>0</v>
      </c>
      <c r="H264" s="9">
        <v>0</v>
      </c>
      <c r="I264" s="9">
        <v>305473990.88348347</v>
      </c>
      <c r="J264" s="9">
        <v>299533084.4913942</v>
      </c>
      <c r="K264" s="9">
        <v>1475385.6094656587</v>
      </c>
      <c r="L264" s="9">
        <v>0</v>
      </c>
      <c r="M264" s="9">
        <v>0</v>
      </c>
      <c r="N264" s="9">
        <v>0</v>
      </c>
      <c r="O264" s="9">
        <v>0</v>
      </c>
      <c r="P264" s="9">
        <v>0</v>
      </c>
      <c r="Q264" s="9">
        <v>0</v>
      </c>
      <c r="R264" s="9">
        <v>0</v>
      </c>
      <c r="S264" s="9">
        <v>0</v>
      </c>
      <c r="T264" s="0" t="inlineStr">
        <is>
          <t xml:space="preserve">ZERO_RESIDUAL_NO_SALE</t>
        </is>
      </c>
      <c r="U264" s="9">
        <f>C264-D264-I264-K264-Q264+S264</f>
        <v>2840533456.712347</v>
      </c>
      <c r="V264" s="9">
        <v>0</v>
      </c>
      <c r="W264" s="9">
        <v>0</v>
      </c>
      <c r="X264" s="9">
        <f>V264-W264</f>
        <v>0</v>
      </c>
    </row>
    <row r="265">
      <c r="A265" s="0" t="inlineStr">
        <is>
          <t xml:space="preserve">VG-017</t>
        </is>
      </c>
      <c r="B265" s="23">
        <v>7</v>
      </c>
      <c r="C265" s="9">
        <v>3662358574.65879</v>
      </c>
      <c r="D265" s="9">
        <v>506773088.66880006</v>
      </c>
      <c r="E265" s="9">
        <v>1620112878.7878788</v>
      </c>
      <c r="F265" s="9">
        <v>1535472607.2021115</v>
      </c>
      <c r="G265" s="9">
        <v>0</v>
      </c>
      <c r="H265" s="9">
        <v>0</v>
      </c>
      <c r="I265" s="9">
        <v>307094521.4404223</v>
      </c>
      <c r="J265" s="9">
        <v>301015773.25962657</v>
      </c>
      <c r="K265" s="9">
        <v>1482688.7682323456</v>
      </c>
      <c r="L265" s="9">
        <v>0</v>
      </c>
      <c r="M265" s="9">
        <v>0</v>
      </c>
      <c r="N265" s="9">
        <v>0</v>
      </c>
      <c r="O265" s="9">
        <v>0</v>
      </c>
      <c r="P265" s="9">
        <v>0</v>
      </c>
      <c r="Q265" s="9">
        <v>0</v>
      </c>
      <c r="R265" s="9">
        <v>0</v>
      </c>
      <c r="S265" s="9">
        <v>0</v>
      </c>
      <c r="T265" s="0" t="inlineStr">
        <is>
          <t xml:space="preserve">ZERO_RESIDUAL_NO_SALE</t>
        </is>
      </c>
      <c r="U265" s="9">
        <f>C265-D265-I265-K265-Q265+S265</f>
        <v>2847008275.781336</v>
      </c>
      <c r="V265" s="9">
        <v>0</v>
      </c>
      <c r="W265" s="9">
        <v>0</v>
      </c>
      <c r="X265" s="9">
        <f>V265-W265</f>
        <v>0</v>
      </c>
    </row>
    <row r="266">
      <c r="A266" s="0" t="inlineStr">
        <is>
          <t xml:space="preserve">VG-017</t>
        </is>
      </c>
      <c r="B266" s="23">
        <v>8</v>
      </c>
      <c r="C266" s="9">
        <v>3680487249.6033506</v>
      </c>
      <c r="D266" s="9">
        <v>516908550.44217604</v>
      </c>
      <c r="E266" s="9">
        <v>1620112878.7878788</v>
      </c>
      <c r="F266" s="9">
        <v>1543465820.373296</v>
      </c>
      <c r="G266" s="9">
        <v>0</v>
      </c>
      <c r="H266" s="9">
        <v>0</v>
      </c>
      <c r="I266" s="9">
        <v>308693164.0746592</v>
      </c>
      <c r="J266" s="9">
        <v>302505801.33726174</v>
      </c>
      <c r="K266" s="9">
        <v>1490028.077635169</v>
      </c>
      <c r="L266" s="9">
        <v>0</v>
      </c>
      <c r="M266" s="9">
        <v>0</v>
      </c>
      <c r="N266" s="9">
        <v>0</v>
      </c>
      <c r="O266" s="9">
        <v>0</v>
      </c>
      <c r="P266" s="9">
        <v>0</v>
      </c>
      <c r="Q266" s="9">
        <v>0</v>
      </c>
      <c r="R266" s="9">
        <v>0</v>
      </c>
      <c r="S266" s="9">
        <v>0</v>
      </c>
      <c r="T266" s="0" t="inlineStr">
        <is>
          <t xml:space="preserve">ZERO_RESIDUAL_NO_SALE</t>
        </is>
      </c>
      <c r="U266" s="9">
        <f>C266-D266-I266-K266-Q266+S266</f>
        <v>2853395507.00888</v>
      </c>
      <c r="V266" s="9">
        <v>0</v>
      </c>
      <c r="W266" s="9">
        <v>0</v>
      </c>
      <c r="X266" s="9">
        <f>V266-W266</f>
        <v>0</v>
      </c>
    </row>
    <row r="267">
      <c r="A267" s="0" t="inlineStr">
        <is>
          <t xml:space="preserve">VG-017</t>
        </is>
      </c>
      <c r="B267" s="23">
        <v>9</v>
      </c>
      <c r="C267" s="9">
        <v>3698705661.4888873</v>
      </c>
      <c r="D267" s="9">
        <v>527246721.4510196</v>
      </c>
      <c r="E267" s="9">
        <v>1620112878.7878788</v>
      </c>
      <c r="F267" s="9">
        <v>1551346061.2499888</v>
      </c>
      <c r="G267" s="9">
        <v>0</v>
      </c>
      <c r="H267" s="9">
        <v>0</v>
      </c>
      <c r="I267" s="9">
        <v>310269212.2499978</v>
      </c>
      <c r="J267" s="9">
        <v>304003205.05388117</v>
      </c>
      <c r="K267" s="9">
        <v>1497403.716619432</v>
      </c>
      <c r="L267" s="9">
        <v>0</v>
      </c>
      <c r="M267" s="9">
        <v>0</v>
      </c>
      <c r="N267" s="9">
        <v>0</v>
      </c>
      <c r="O267" s="9">
        <v>0</v>
      </c>
      <c r="P267" s="9">
        <v>0</v>
      </c>
      <c r="Q267" s="9">
        <v>0</v>
      </c>
      <c r="R267" s="9">
        <v>0</v>
      </c>
      <c r="S267" s="9">
        <v>0</v>
      </c>
      <c r="T267" s="0" t="inlineStr">
        <is>
          <t xml:space="preserve">ZERO_RESIDUAL_NO_SALE</t>
        </is>
      </c>
      <c r="U267" s="9">
        <f>C267-D267-I267-K267-Q267+S267</f>
        <v>2859692324.0712504</v>
      </c>
      <c r="V267" s="9">
        <v>0</v>
      </c>
      <c r="W267" s="9">
        <v>0</v>
      </c>
      <c r="X267" s="9">
        <f>V267-W267</f>
        <v>0</v>
      </c>
    </row>
    <row r="268">
      <c r="A268" s="0" t="inlineStr">
        <is>
          <t xml:space="preserve">VG-017</t>
        </is>
      </c>
      <c r="B268" s="23">
        <v>10</v>
      </c>
      <c r="C268" s="9">
        <v>3717014254.513257</v>
      </c>
      <c r="D268" s="9">
        <v>537791655.8800399</v>
      </c>
      <c r="E268" s="9">
        <v>1620112878.7878788</v>
      </c>
      <c r="F268" s="9">
        <v>1559109719.845338</v>
      </c>
      <c r="G268" s="9">
        <v>0</v>
      </c>
      <c r="H268" s="9">
        <v>0</v>
      </c>
      <c r="I268" s="9">
        <v>311821943.96906763</v>
      </c>
      <c r="J268" s="9">
        <v>305508020.9188978</v>
      </c>
      <c r="K268" s="9">
        <v>1504815.8650166392</v>
      </c>
      <c r="L268" s="9">
        <v>0</v>
      </c>
      <c r="M268" s="9">
        <v>0</v>
      </c>
      <c r="N268" s="9">
        <v>0</v>
      </c>
      <c r="O268" s="9">
        <v>0</v>
      </c>
      <c r="P268" s="9">
        <v>0</v>
      </c>
      <c r="Q268" s="9">
        <v>121508465.9090909</v>
      </c>
      <c r="R268" s="9">
        <v>0</v>
      </c>
      <c r="S268" s="9">
        <v>0</v>
      </c>
      <c r="T268" s="0" t="inlineStr">
        <is>
          <t xml:space="preserve">ZERO_RESIDUAL_NO_SALE</t>
        </is>
      </c>
      <c r="U268" s="9">
        <f>C268-D268-I268-K268-Q268+S268</f>
        <v>2744387372.890042</v>
      </c>
      <c r="V268" s="9">
        <v>0</v>
      </c>
      <c r="W268" s="9">
        <v>0</v>
      </c>
      <c r="X268" s="9">
        <f>V268-W268</f>
        <v>0</v>
      </c>
    </row>
    <row r="269">
      <c r="A269" s="0" t="inlineStr">
        <is>
          <t xml:space="preserve">VG-017</t>
        </is>
      </c>
      <c r="B269" s="23">
        <v>11</v>
      </c>
      <c r="C269" s="9">
        <v>3735413475.0730977</v>
      </c>
      <c r="D269" s="9">
        <v>548547488.9976408</v>
      </c>
      <c r="E269" s="9">
        <v>1620112878.7878788</v>
      </c>
      <c r="F269" s="9">
        <v>1566753107.2875779</v>
      </c>
      <c r="G269" s="9">
        <v>0</v>
      </c>
      <c r="H269" s="9">
        <v>0</v>
      </c>
      <c r="I269" s="9">
        <v>313350621.4575156</v>
      </c>
      <c r="J269" s="9">
        <v>307020285.6224464</v>
      </c>
      <c r="K269" s="9">
        <v>1512264.7035486102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v>0</v>
      </c>
      <c r="R269" s="9">
        <v>0</v>
      </c>
      <c r="S269" s="9">
        <v>0</v>
      </c>
      <c r="T269" s="0" t="inlineStr">
        <is>
          <t xml:space="preserve">ZERO_RESIDUAL_NO_SALE</t>
        </is>
      </c>
      <c r="U269" s="9">
        <f>C269-D269-I269-K269-Q269+S269</f>
        <v>2872003099.9143925</v>
      </c>
      <c r="V269" s="9">
        <v>0</v>
      </c>
      <c r="W269" s="9">
        <v>0</v>
      </c>
      <c r="X269" s="9">
        <f>V269-W269</f>
        <v>0</v>
      </c>
    </row>
    <row r="270">
      <c r="A270" s="0" t="inlineStr">
        <is>
          <t xml:space="preserve">VG-017</t>
        </is>
      </c>
      <c r="B270" s="23">
        <v>12</v>
      </c>
      <c r="C270" s="9">
        <v>3753903771.7747097</v>
      </c>
      <c r="D270" s="9">
        <v>559518438.7775936</v>
      </c>
      <c r="E270" s="9">
        <v>1620112878.7878788</v>
      </c>
      <c r="F270" s="9">
        <v>1574272454.2092373</v>
      </c>
      <c r="G270" s="9">
        <v>0</v>
      </c>
      <c r="H270" s="9">
        <v>0</v>
      </c>
      <c r="I270" s="9">
        <v>314854490.8418475</v>
      </c>
      <c r="J270" s="9">
        <v>308540036.0362775</v>
      </c>
      <c r="K270" s="9">
        <v>1519750.4138310552</v>
      </c>
      <c r="L270" s="9">
        <v>0</v>
      </c>
      <c r="M270" s="9">
        <v>0</v>
      </c>
      <c r="N270" s="9">
        <v>0</v>
      </c>
      <c r="O270" s="9">
        <v>0</v>
      </c>
      <c r="P270" s="9">
        <v>0</v>
      </c>
      <c r="Q270" s="9">
        <v>0</v>
      </c>
      <c r="R270" s="9">
        <v>0</v>
      </c>
      <c r="S270" s="9">
        <v>0</v>
      </c>
      <c r="T270" s="0" t="inlineStr">
        <is>
          <t xml:space="preserve">ZERO_RESIDUAL_NO_SALE</t>
        </is>
      </c>
      <c r="U270" s="9">
        <f>C270-D270-I270-K270-Q270+S270</f>
        <v>2878011091.7414374</v>
      </c>
      <c r="V270" s="9">
        <v>0</v>
      </c>
      <c r="W270" s="9">
        <v>0</v>
      </c>
      <c r="X270" s="9">
        <f>V270-W270</f>
        <v>0</v>
      </c>
    </row>
    <row r="271">
      <c r="A271" s="0" t="inlineStr">
        <is>
          <t xml:space="preserve">VG-017</t>
        </is>
      </c>
      <c r="B271" s="23">
        <v>13</v>
      </c>
      <c r="C271" s="9">
        <v>3772485595.4449944</v>
      </c>
      <c r="D271" s="9">
        <v>570708807.5531455</v>
      </c>
      <c r="E271" s="9">
        <v>1620112878.7878788</v>
      </c>
      <c r="F271" s="9">
        <v>1581663909.1039703</v>
      </c>
      <c r="G271" s="9">
        <v>0</v>
      </c>
      <c r="H271" s="9">
        <v>0</v>
      </c>
      <c r="I271" s="9">
        <v>316332781.82079405</v>
      </c>
      <c r="J271" s="9">
        <v>310067309.21465707</v>
      </c>
      <c r="K271" s="9">
        <v>1527273.1783795953</v>
      </c>
      <c r="L271" s="9">
        <v>0</v>
      </c>
      <c r="M271" s="9">
        <v>0</v>
      </c>
      <c r="N271" s="9">
        <v>0</v>
      </c>
      <c r="O271" s="9">
        <v>0</v>
      </c>
      <c r="P271" s="9">
        <v>0</v>
      </c>
      <c r="Q271" s="9">
        <v>0</v>
      </c>
      <c r="R271" s="9">
        <v>0</v>
      </c>
      <c r="S271" s="9">
        <v>0</v>
      </c>
      <c r="T271" s="0" t="inlineStr">
        <is>
          <t xml:space="preserve">ZERO_RESIDUAL_NO_SALE</t>
        </is>
      </c>
      <c r="U271" s="9">
        <f>C271-D271-I271-K271-Q271+S271</f>
        <v>2883916732.8926754</v>
      </c>
      <c r="V271" s="9">
        <v>0</v>
      </c>
      <c r="W271" s="9">
        <v>0</v>
      </c>
      <c r="X271" s="9">
        <f>V271-W271</f>
        <v>0</v>
      </c>
    </row>
    <row r="272">
      <c r="A272" s="0" t="inlineStr">
        <is>
          <t xml:space="preserve">VG-017</t>
        </is>
      </c>
      <c r="B272" s="23">
        <v>14</v>
      </c>
      <c r="C272" s="9">
        <v>3791159399.1424475</v>
      </c>
      <c r="D272" s="9">
        <v>582122983.7042085</v>
      </c>
      <c r="E272" s="9">
        <v>1620112878.7878788</v>
      </c>
      <c r="F272" s="9">
        <v>1588923536.6503603</v>
      </c>
      <c r="G272" s="9">
        <v>0</v>
      </c>
      <c r="H272" s="9">
        <v>0</v>
      </c>
      <c r="I272" s="9">
        <v>317784707.3300721</v>
      </c>
      <c r="J272" s="9">
        <v>311602142.39526963</v>
      </c>
      <c r="K272" s="9">
        <v>1534833.180612564</v>
      </c>
      <c r="L272" s="9">
        <v>0</v>
      </c>
      <c r="M272" s="9">
        <v>0</v>
      </c>
      <c r="N272" s="9">
        <v>0</v>
      </c>
      <c r="O272" s="9">
        <v>0</v>
      </c>
      <c r="P272" s="9">
        <v>0</v>
      </c>
      <c r="Q272" s="9">
        <v>0</v>
      </c>
      <c r="R272" s="9">
        <v>0</v>
      </c>
      <c r="S272" s="9">
        <v>0</v>
      </c>
      <c r="T272" s="0" t="inlineStr">
        <is>
          <t xml:space="preserve">ZERO_RESIDUAL_NO_SALE</t>
        </is>
      </c>
      <c r="U272" s="9">
        <f>C272-D272-I272-K272-Q272+S272</f>
        <v>2889716874.9275546</v>
      </c>
      <c r="V272" s="9">
        <v>0</v>
      </c>
      <c r="W272" s="9">
        <v>0</v>
      </c>
      <c r="X272" s="9">
        <f>V272-W272</f>
        <v>0</v>
      </c>
    </row>
    <row r="273">
      <c r="A273" s="0" t="inlineStr">
        <is>
          <t xml:space="preserve">VG-017</t>
        </is>
      </c>
      <c r="B273" s="23">
        <v>15</v>
      </c>
      <c r="C273" s="9">
        <v>3809925638.168203</v>
      </c>
      <c r="D273" s="9">
        <v>593765443.3782926</v>
      </c>
      <c r="E273" s="9">
        <v>1620112878.7878788</v>
      </c>
      <c r="F273" s="9">
        <v>1596047316.0020316</v>
      </c>
      <c r="G273" s="9">
        <v>0</v>
      </c>
      <c r="H273" s="9">
        <v>0</v>
      </c>
      <c r="I273" s="9">
        <v>319209463.2004063</v>
      </c>
      <c r="J273" s="9">
        <v>0</v>
      </c>
      <c r="K273" s="9">
        <v>-311602142.39526963</v>
      </c>
      <c r="L273" s="9">
        <v>0</v>
      </c>
      <c r="M273" s="9">
        <v>0</v>
      </c>
      <c r="N273" s="9">
        <v>0</v>
      </c>
      <c r="O273" s="9">
        <v>0</v>
      </c>
      <c r="P273" s="9">
        <v>0</v>
      </c>
      <c r="Q273" s="9">
        <v>0</v>
      </c>
      <c r="R273" s="9">
        <v>0</v>
      </c>
      <c r="S273" s="9">
        <v>311602142.39526963</v>
      </c>
      <c r="T273" s="0" t="inlineStr">
        <is>
          <t xml:space="preserve">ZERO_RESIDUAL_NO_SALE</t>
        </is>
      </c>
      <c r="U273" s="9">
        <f>C273-D273-I273-K273-Q273+S273</f>
        <v>3208552873.9847736</v>
      </c>
      <c r="V273" s="9">
        <v>0</v>
      </c>
      <c r="W273" s="9">
        <v>0</v>
      </c>
      <c r="X273" s="9">
        <f>V273-W273</f>
        <v>0</v>
      </c>
    </row>
    <row r="274">
      <c r="A274" s="0" t="inlineStr">
        <is>
          <t xml:space="preserve">VG-018</t>
        </is>
      </c>
      <c r="B274" s="23">
        <v>0</v>
      </c>
      <c r="C274" s="9">
        <v>0</v>
      </c>
      <c r="D274" s="9">
        <v>0</v>
      </c>
      <c r="E274" s="9">
        <v>0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25510713541.666668</v>
      </c>
      <c r="M274" s="9">
        <v>23289122632.575756</v>
      </c>
      <c r="N274" s="9">
        <v>2221590909.090911</v>
      </c>
      <c r="O274" s="9">
        <v>24437500000</v>
      </c>
      <c r="P274" s="9">
        <v>1073213541.6666666</v>
      </c>
      <c r="Q274" s="9">
        <v>0</v>
      </c>
      <c r="R274" s="9">
        <v>0</v>
      </c>
      <c r="S274" s="9">
        <v>0</v>
      </c>
      <c r="T274" s="0" t="inlineStr">
        <is>
          <t xml:space="preserve">ZERO_RESIDUAL_NO_SALE</t>
        </is>
      </c>
      <c r="U274" s="9">
        <f>C274-D274-I274-K274-Q274+S274</f>
        <v>0</v>
      </c>
      <c r="V274" s="9">
        <v>25510713541.666668</v>
      </c>
      <c r="W274" s="9">
        <v>25510713541.666668</v>
      </c>
      <c r="X274" s="9">
        <f>V274-W274</f>
        <v>0</v>
      </c>
    </row>
    <row r="275">
      <c r="A275" s="0" t="inlineStr">
        <is>
          <t xml:space="preserve">VG-018</t>
        </is>
      </c>
      <c r="B275" s="23">
        <v>1</v>
      </c>
      <c r="C275" s="9">
        <v>3194676540.0000005</v>
      </c>
      <c r="D275" s="9">
        <v>431250000</v>
      </c>
      <c r="E275" s="9">
        <v>1552608175.5050504</v>
      </c>
      <c r="F275" s="9">
        <v>1210818364.49495</v>
      </c>
      <c r="G275" s="9">
        <v>0</v>
      </c>
      <c r="H275" s="9">
        <v>0</v>
      </c>
      <c r="I275" s="9">
        <v>242163672.89899004</v>
      </c>
      <c r="J275" s="9">
        <v>262576153.97260278</v>
      </c>
      <c r="K275" s="9">
        <v>262576153.97260278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0" t="inlineStr">
        <is>
          <t xml:space="preserve">ZERO_RESIDUAL_NO_SALE</t>
        </is>
      </c>
      <c r="U275" s="9">
        <f>C275-D275-I275-K275-Q275+S275</f>
        <v>2258686713.1284075</v>
      </c>
      <c r="V275" s="9">
        <v>0</v>
      </c>
      <c r="W275" s="9">
        <v>0</v>
      </c>
      <c r="X275" s="9">
        <f>V275-W275</f>
        <v>0</v>
      </c>
    </row>
    <row r="276">
      <c r="A276" s="0" t="inlineStr">
        <is>
          <t xml:space="preserve">VG-018</t>
        </is>
      </c>
      <c r="B276" s="23">
        <v>2</v>
      </c>
      <c r="C276" s="9">
        <v>3210490188.873</v>
      </c>
      <c r="D276" s="9">
        <v>439875000</v>
      </c>
      <c r="E276" s="9">
        <v>1552608175.5050504</v>
      </c>
      <c r="F276" s="9">
        <v>1218007013.3679497</v>
      </c>
      <c r="G276" s="9">
        <v>0</v>
      </c>
      <c r="H276" s="9">
        <v>0</v>
      </c>
      <c r="I276" s="9">
        <v>243601402.67358994</v>
      </c>
      <c r="J276" s="9">
        <v>263875905.93476713</v>
      </c>
      <c r="K276" s="9">
        <v>1299751.9621643424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v>0</v>
      </c>
      <c r="R276" s="9">
        <v>0</v>
      </c>
      <c r="S276" s="9">
        <v>0</v>
      </c>
      <c r="T276" s="0" t="inlineStr">
        <is>
          <t xml:space="preserve">ZERO_RESIDUAL_NO_SALE</t>
        </is>
      </c>
      <c r="U276" s="9">
        <f>C276-D276-I276-K276-Q276+S276</f>
        <v>2525714034.237246</v>
      </c>
      <c r="V276" s="9">
        <v>0</v>
      </c>
      <c r="W276" s="9">
        <v>0</v>
      </c>
      <c r="X276" s="9">
        <f>V276-W276</f>
        <v>0</v>
      </c>
    </row>
    <row r="277">
      <c r="A277" s="0" t="inlineStr">
        <is>
          <t xml:space="preserve">VG-018</t>
        </is>
      </c>
      <c r="B277" s="23">
        <v>3</v>
      </c>
      <c r="C277" s="9">
        <v>3226382115.3079214</v>
      </c>
      <c r="D277" s="9">
        <v>448672500</v>
      </c>
      <c r="E277" s="9">
        <v>1552608175.5050504</v>
      </c>
      <c r="F277" s="9">
        <v>1225101439.802871</v>
      </c>
      <c r="G277" s="9">
        <v>0</v>
      </c>
      <c r="H277" s="9">
        <v>0</v>
      </c>
      <c r="I277" s="9">
        <v>245020287.9605742</v>
      </c>
      <c r="J277" s="9">
        <v>265182091.6691442</v>
      </c>
      <c r="K277" s="9">
        <v>1306185.7343770862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0</v>
      </c>
      <c r="R277" s="9">
        <v>0</v>
      </c>
      <c r="S277" s="9">
        <v>0</v>
      </c>
      <c r="T277" s="0" t="inlineStr">
        <is>
          <t xml:space="preserve">ZERO_RESIDUAL_NO_SALE</t>
        </is>
      </c>
      <c r="U277" s="9">
        <f>C277-D277-I277-K277-Q277+S277</f>
        <v>2531383141.6129704</v>
      </c>
      <c r="V277" s="9">
        <v>0</v>
      </c>
      <c r="W277" s="9">
        <v>0</v>
      </c>
      <c r="X277" s="9">
        <f>V277-W277</f>
        <v>0</v>
      </c>
    </row>
    <row r="278">
      <c r="A278" s="0" t="inlineStr">
        <is>
          <t xml:space="preserve">VG-018</t>
        </is>
      </c>
      <c r="B278" s="23">
        <v>4</v>
      </c>
      <c r="C278" s="9">
        <v>3242352706.778696</v>
      </c>
      <c r="D278" s="9">
        <v>457645950.00000006</v>
      </c>
      <c r="E278" s="9">
        <v>1552608175.5050504</v>
      </c>
      <c r="F278" s="9">
        <v>1232098581.2736456</v>
      </c>
      <c r="G278" s="9">
        <v>0</v>
      </c>
      <c r="H278" s="9">
        <v>0</v>
      </c>
      <c r="I278" s="9">
        <v>246419716.25472915</v>
      </c>
      <c r="J278" s="9">
        <v>266494743.02290654</v>
      </c>
      <c r="K278" s="9">
        <v>1312651.3537623286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v>0</v>
      </c>
      <c r="R278" s="9">
        <v>0</v>
      </c>
      <c r="S278" s="9">
        <v>0</v>
      </c>
      <c r="T278" s="0" t="inlineStr">
        <is>
          <t xml:space="preserve">ZERO_RESIDUAL_NO_SALE</t>
        </is>
      </c>
      <c r="U278" s="9">
        <f>C278-D278-I278-K278-Q278+S278</f>
        <v>2536974389.1702046</v>
      </c>
      <c r="V278" s="9">
        <v>0</v>
      </c>
      <c r="W278" s="9">
        <v>0</v>
      </c>
      <c r="X278" s="9">
        <f>V278-W278</f>
        <v>0</v>
      </c>
    </row>
    <row r="279">
      <c r="A279" s="0" t="inlineStr">
        <is>
          <t xml:space="preserve">VG-018</t>
        </is>
      </c>
      <c r="B279" s="23">
        <v>5</v>
      </c>
      <c r="C279" s="9">
        <v>3258402352.67725</v>
      </c>
      <c r="D279" s="9">
        <v>466798869</v>
      </c>
      <c r="E279" s="9">
        <v>1552608175.5050504</v>
      </c>
      <c r="F279" s="9">
        <v>1238995308.1721995</v>
      </c>
      <c r="G279" s="9">
        <v>0</v>
      </c>
      <c r="H279" s="9">
        <v>0</v>
      </c>
      <c r="I279" s="9">
        <v>247799061.63443992</v>
      </c>
      <c r="J279" s="9">
        <v>267813892.00086987</v>
      </c>
      <c r="K279" s="9">
        <v>1319148.9779633284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v>116445613.16287878</v>
      </c>
      <c r="R279" s="9">
        <v>0</v>
      </c>
      <c r="S279" s="9">
        <v>0</v>
      </c>
      <c r="T279" s="0" t="inlineStr">
        <is>
          <t xml:space="preserve">ZERO_RESIDUAL_NO_SALE</t>
        </is>
      </c>
      <c r="U279" s="9">
        <f>C279-D279-I279-K279-Q279+S279</f>
        <v>2426039659.9019675</v>
      </c>
      <c r="V279" s="9">
        <v>0</v>
      </c>
      <c r="W279" s="9">
        <v>0</v>
      </c>
      <c r="X279" s="9">
        <f>V279-W279</f>
        <v>0</v>
      </c>
    </row>
    <row r="280">
      <c r="A280" s="0" t="inlineStr">
        <is>
          <t xml:space="preserve">VG-018</t>
        </is>
      </c>
      <c r="B280" s="23">
        <v>6</v>
      </c>
      <c r="C280" s="9">
        <v>3274531444.3230033</v>
      </c>
      <c r="D280" s="9">
        <v>476134846.38</v>
      </c>
      <c r="E280" s="9">
        <v>1552608175.5050504</v>
      </c>
      <c r="F280" s="9">
        <v>1245788422.4379528</v>
      </c>
      <c r="G280" s="9">
        <v>0</v>
      </c>
      <c r="H280" s="9">
        <v>0</v>
      </c>
      <c r="I280" s="9">
        <v>249157684.48759055</v>
      </c>
      <c r="J280" s="9">
        <v>269139570.7662742</v>
      </c>
      <c r="K280" s="9">
        <v>1325678.7654043436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v>0</v>
      </c>
      <c r="R280" s="9">
        <v>0</v>
      </c>
      <c r="S280" s="9">
        <v>0</v>
      </c>
      <c r="T280" s="0" t="inlineStr">
        <is>
          <t xml:space="preserve">ZERO_RESIDUAL_NO_SALE</t>
        </is>
      </c>
      <c r="U280" s="9">
        <f>C280-D280-I280-K280-Q280+S280</f>
        <v>2547913234.6900086</v>
      </c>
      <c r="V280" s="9">
        <v>0</v>
      </c>
      <c r="W280" s="9">
        <v>0</v>
      </c>
      <c r="X280" s="9">
        <f>V280-W280</f>
        <v>0</v>
      </c>
    </row>
    <row r="281">
      <c r="A281" s="0" t="inlineStr">
        <is>
          <t xml:space="preserve">VG-018</t>
        </is>
      </c>
      <c r="B281" s="23">
        <v>7</v>
      </c>
      <c r="C281" s="9">
        <v>3290740374.9724016</v>
      </c>
      <c r="D281" s="9">
        <v>485657543.3076</v>
      </c>
      <c r="E281" s="9">
        <v>1552608175.5050504</v>
      </c>
      <c r="F281" s="9">
        <v>1252474656.1597512</v>
      </c>
      <c r="G281" s="9">
        <v>0</v>
      </c>
      <c r="H281" s="9">
        <v>0</v>
      </c>
      <c r="I281" s="9">
        <v>250494931.23195025</v>
      </c>
      <c r="J281" s="9">
        <v>270471811.64156723</v>
      </c>
      <c r="K281" s="9">
        <v>1332240.8752930164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v>0</v>
      </c>
      <c r="R281" s="9">
        <v>0</v>
      </c>
      <c r="S281" s="9">
        <v>0</v>
      </c>
      <c r="T281" s="0" t="inlineStr">
        <is>
          <t xml:space="preserve">ZERO_RESIDUAL_NO_SALE</t>
        </is>
      </c>
      <c r="U281" s="9">
        <f>C281-D281-I281-K281-Q281+S281</f>
        <v>2553255659.557558</v>
      </c>
      <c r="V281" s="9">
        <v>0</v>
      </c>
      <c r="W281" s="9">
        <v>0</v>
      </c>
      <c r="X281" s="9">
        <f>V281-W281</f>
        <v>0</v>
      </c>
    </row>
    <row r="282">
      <c r="A282" s="0" t="inlineStr">
        <is>
          <t xml:space="preserve">VG-018</t>
        </is>
      </c>
      <c r="B282" s="23">
        <v>8</v>
      </c>
      <c r="C282" s="9">
        <v>3307029539.8285146</v>
      </c>
      <c r="D282" s="9">
        <v>495370694.173752</v>
      </c>
      <c r="E282" s="9">
        <v>1552608175.5050504</v>
      </c>
      <c r="F282" s="9">
        <v>1259050670.1497123</v>
      </c>
      <c r="G282" s="9">
        <v>0</v>
      </c>
      <c r="H282" s="9">
        <v>0</v>
      </c>
      <c r="I282" s="9">
        <v>251810134.02994248</v>
      </c>
      <c r="J282" s="9">
        <v>271810647.10919297</v>
      </c>
      <c r="K282" s="9">
        <v>1338835.4676257372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v>0</v>
      </c>
      <c r="R282" s="9">
        <v>0</v>
      </c>
      <c r="S282" s="9">
        <v>0</v>
      </c>
      <c r="T282" s="0" t="inlineStr">
        <is>
          <t xml:space="preserve">ZERO_RESIDUAL_NO_SALE</t>
        </is>
      </c>
      <c r="U282" s="9">
        <f>C282-D282-I282-K282-Q282+S282</f>
        <v>2558509876.1571946</v>
      </c>
      <c r="V282" s="9">
        <v>0</v>
      </c>
      <c r="W282" s="9">
        <v>0</v>
      </c>
      <c r="X282" s="9">
        <f>V282-W282</f>
        <v>0</v>
      </c>
    </row>
    <row r="283">
      <c r="A283" s="0" t="inlineStr">
        <is>
          <t xml:space="preserve">VG-018</t>
        </is>
      </c>
      <c r="B283" s="23">
        <v>9</v>
      </c>
      <c r="C283" s="9">
        <v>3323399336.050667</v>
      </c>
      <c r="D283" s="9">
        <v>505278108.0572271</v>
      </c>
      <c r="E283" s="9">
        <v>1552608175.5050504</v>
      </c>
      <c r="F283" s="9">
        <v>1265513052.4883893</v>
      </c>
      <c r="G283" s="9">
        <v>0</v>
      </c>
      <c r="H283" s="9">
        <v>0</v>
      </c>
      <c r="I283" s="9">
        <v>253102610.49767786</v>
      </c>
      <c r="J283" s="9">
        <v>273156109.8123836</v>
      </c>
      <c r="K283" s="9">
        <v>1345462.7031906247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0" t="inlineStr">
        <is>
          <t xml:space="preserve">ZERO_RESIDUAL_NO_SALE</t>
        </is>
      </c>
      <c r="U283" s="9">
        <f>C283-D283-I283-K283-Q283+S283</f>
        <v>2563673154.792571</v>
      </c>
      <c r="V283" s="9">
        <v>0</v>
      </c>
      <c r="W283" s="9">
        <v>0</v>
      </c>
      <c r="X283" s="9">
        <f>V283-W283</f>
        <v>0</v>
      </c>
    </row>
    <row r="284">
      <c r="A284" s="0" t="inlineStr">
        <is>
          <t xml:space="preserve">VG-018</t>
        </is>
      </c>
      <c r="B284" s="23">
        <v>10</v>
      </c>
      <c r="C284" s="9">
        <v>3339850162.764117</v>
      </c>
      <c r="D284" s="9">
        <v>515383670.2183716</v>
      </c>
      <c r="E284" s="9">
        <v>1552608175.5050504</v>
      </c>
      <c r="F284" s="9">
        <v>1271858317.0406945</v>
      </c>
      <c r="G284" s="9">
        <v>0</v>
      </c>
      <c r="H284" s="9">
        <v>0</v>
      </c>
      <c r="I284" s="9">
        <v>254371663.4081389</v>
      </c>
      <c r="J284" s="9">
        <v>274508232.5559548</v>
      </c>
      <c r="K284" s="9">
        <v>1352122.7435712218</v>
      </c>
      <c r="L284" s="9">
        <v>0</v>
      </c>
      <c r="M284" s="9">
        <v>0</v>
      </c>
      <c r="N284" s="9">
        <v>0</v>
      </c>
      <c r="O284" s="9">
        <v>0</v>
      </c>
      <c r="P284" s="9">
        <v>0</v>
      </c>
      <c r="Q284" s="9">
        <v>116445613.16287878</v>
      </c>
      <c r="R284" s="9">
        <v>0</v>
      </c>
      <c r="S284" s="9">
        <v>0</v>
      </c>
      <c r="T284" s="0" t="inlineStr">
        <is>
          <t xml:space="preserve">ZERO_RESIDUAL_NO_SALE</t>
        </is>
      </c>
      <c r="U284" s="9">
        <f>C284-D284-I284-K284-Q284+S284</f>
        <v>2452297093.231156</v>
      </c>
      <c r="V284" s="9">
        <v>0</v>
      </c>
      <c r="W284" s="9">
        <v>0</v>
      </c>
      <c r="X284" s="9">
        <f>V284-W284</f>
        <v>0</v>
      </c>
    </row>
    <row r="285">
      <c r="A285" s="0" t="inlineStr">
        <is>
          <t xml:space="preserve">VG-018</t>
        </is>
      </c>
      <c r="B285" s="23">
        <v>11</v>
      </c>
      <c r="C285" s="9">
        <v>3356382421.0697994</v>
      </c>
      <c r="D285" s="9">
        <v>525691343.6227391</v>
      </c>
      <c r="E285" s="9">
        <v>1552608175.5050504</v>
      </c>
      <c r="F285" s="9">
        <v>1278082901.9420102</v>
      </c>
      <c r="G285" s="9">
        <v>0</v>
      </c>
      <c r="H285" s="9">
        <v>0</v>
      </c>
      <c r="I285" s="9">
        <v>255616580.38840204</v>
      </c>
      <c r="J285" s="9">
        <v>275867048.3071068</v>
      </c>
      <c r="K285" s="9">
        <v>1358815.751151979</v>
      </c>
      <c r="L285" s="9">
        <v>0</v>
      </c>
      <c r="M285" s="9">
        <v>0</v>
      </c>
      <c r="N285" s="9">
        <v>0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0" t="inlineStr">
        <is>
          <t xml:space="preserve">ZERO_RESIDUAL_NO_SALE</t>
        </is>
      </c>
      <c r="U285" s="9">
        <f>C285-D285-I285-K285-Q285+S285</f>
        <v>2573715681.3075066</v>
      </c>
      <c r="V285" s="9">
        <v>0</v>
      </c>
      <c r="W285" s="9">
        <v>0</v>
      </c>
      <c r="X285" s="9">
        <f>V285-W285</f>
        <v>0</v>
      </c>
    </row>
    <row r="286">
      <c r="A286" s="0" t="inlineStr">
        <is>
          <t xml:space="preserve">VG-018</t>
        </is>
      </c>
      <c r="B286" s="23">
        <v>12</v>
      </c>
      <c r="C286" s="9">
        <v>3372996514.054095</v>
      </c>
      <c r="D286" s="9">
        <v>536205170.4951939</v>
      </c>
      <c r="E286" s="9">
        <v>1552608175.5050504</v>
      </c>
      <c r="F286" s="9">
        <v>1284183168.0538504</v>
      </c>
      <c r="G286" s="9">
        <v>0</v>
      </c>
      <c r="H286" s="9">
        <v>0</v>
      </c>
      <c r="I286" s="9">
        <v>256836633.6107701</v>
      </c>
      <c r="J286" s="9">
        <v>277232590.19622695</v>
      </c>
      <c r="K286" s="9">
        <v>1365541.8891201615</v>
      </c>
      <c r="L286" s="9">
        <v>0</v>
      </c>
      <c r="M286" s="9">
        <v>0</v>
      </c>
      <c r="N286" s="9">
        <v>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0" t="inlineStr">
        <is>
          <t xml:space="preserve">ZERO_RESIDUAL_NO_SALE</t>
        </is>
      </c>
      <c r="U286" s="9">
        <f>C286-D286-I286-K286-Q286+S286</f>
        <v>2578589168.0590105</v>
      </c>
      <c r="V286" s="9">
        <v>0</v>
      </c>
      <c r="W286" s="9">
        <v>0</v>
      </c>
      <c r="X286" s="9">
        <f>V286-W286</f>
        <v>0</v>
      </c>
    </row>
    <row r="287">
      <c r="A287" s="0" t="inlineStr">
        <is>
          <t xml:space="preserve">VG-018</t>
        </is>
      </c>
      <c r="B287" s="23">
        <v>13</v>
      </c>
      <c r="C287" s="9">
        <v>3389692846.798662</v>
      </c>
      <c r="D287" s="9">
        <v>546929273.9050977</v>
      </c>
      <c r="E287" s="9">
        <v>1552608175.5050504</v>
      </c>
      <c r="F287" s="9">
        <v>1290155397.3885138</v>
      </c>
      <c r="G287" s="9">
        <v>0</v>
      </c>
      <c r="H287" s="9">
        <v>0</v>
      </c>
      <c r="I287" s="9">
        <v>258031079.47770277</v>
      </c>
      <c r="J287" s="9">
        <v>278604891.5176983</v>
      </c>
      <c r="K287" s="9">
        <v>1372301.3214713335</v>
      </c>
      <c r="L287" s="9">
        <v>0</v>
      </c>
      <c r="M287" s="9">
        <v>0</v>
      </c>
      <c r="N287" s="9">
        <v>0</v>
      </c>
      <c r="O287" s="9">
        <v>0</v>
      </c>
      <c r="P287" s="9">
        <v>0</v>
      </c>
      <c r="Q287" s="9">
        <v>0</v>
      </c>
      <c r="R287" s="9">
        <v>0</v>
      </c>
      <c r="S287" s="9">
        <v>0</v>
      </c>
      <c r="T287" s="0" t="inlineStr">
        <is>
          <t xml:space="preserve">ZERO_RESIDUAL_NO_SALE</t>
        </is>
      </c>
      <c r="U287" s="9">
        <f>C287-D287-I287-K287-Q287+S287</f>
        <v>2583360192.0943904</v>
      </c>
      <c r="V287" s="9">
        <v>0</v>
      </c>
      <c r="W287" s="9">
        <v>0</v>
      </c>
      <c r="X287" s="9">
        <f>V287-W287</f>
        <v>0</v>
      </c>
    </row>
    <row r="288">
      <c r="A288" s="0" t="inlineStr">
        <is>
          <t xml:space="preserve">VG-018</t>
        </is>
      </c>
      <c r="B288" s="23">
        <v>14</v>
      </c>
      <c r="C288" s="9">
        <v>3406471826.390316</v>
      </c>
      <c r="D288" s="9">
        <v>557867859.3831998</v>
      </c>
      <c r="E288" s="9">
        <v>1552608175.5050504</v>
      </c>
      <c r="F288" s="9">
        <v>1295995791.502066</v>
      </c>
      <c r="G288" s="9">
        <v>0</v>
      </c>
      <c r="H288" s="9">
        <v>0</v>
      </c>
      <c r="I288" s="9">
        <v>259199158.3004132</v>
      </c>
      <c r="J288" s="9">
        <v>279983985.73071086</v>
      </c>
      <c r="K288" s="9">
        <v>1379094.213012576</v>
      </c>
      <c r="L288" s="9">
        <v>0</v>
      </c>
      <c r="M288" s="9">
        <v>0</v>
      </c>
      <c r="N288" s="9">
        <v>0</v>
      </c>
      <c r="O288" s="9">
        <v>0</v>
      </c>
      <c r="P288" s="9">
        <v>0</v>
      </c>
      <c r="Q288" s="9">
        <v>0</v>
      </c>
      <c r="R288" s="9">
        <v>0</v>
      </c>
      <c r="S288" s="9">
        <v>0</v>
      </c>
      <c r="T288" s="0" t="inlineStr">
        <is>
          <t xml:space="preserve">ZERO_RESIDUAL_NO_SALE</t>
        </is>
      </c>
      <c r="U288" s="9">
        <f>C288-D288-I288-K288-Q288+S288</f>
        <v>2588025714.4936905</v>
      </c>
      <c r="V288" s="9">
        <v>0</v>
      </c>
      <c r="W288" s="9">
        <v>0</v>
      </c>
      <c r="X288" s="9">
        <f>V288-W288</f>
        <v>0</v>
      </c>
    </row>
    <row r="289">
      <c r="A289" s="0" t="inlineStr">
        <is>
          <t xml:space="preserve">VG-018</t>
        </is>
      </c>
      <c r="B289" s="23">
        <v>15</v>
      </c>
      <c r="C289" s="9">
        <v>3423333861.9309487</v>
      </c>
      <c r="D289" s="9">
        <v>569025216.5708637</v>
      </c>
      <c r="E289" s="9">
        <v>1552608175.5050504</v>
      </c>
      <c r="F289" s="9">
        <v>1301700469.8550346</v>
      </c>
      <c r="G289" s="9">
        <v>0</v>
      </c>
      <c r="H289" s="9">
        <v>0</v>
      </c>
      <c r="I289" s="9">
        <v>260340093.97100693</v>
      </c>
      <c r="J289" s="9">
        <v>0</v>
      </c>
      <c r="K289" s="9">
        <v>-279983985.73071086</v>
      </c>
      <c r="L289" s="9">
        <v>0</v>
      </c>
      <c r="M289" s="9">
        <v>0</v>
      </c>
      <c r="N289" s="9">
        <v>0</v>
      </c>
      <c r="O289" s="9">
        <v>0</v>
      </c>
      <c r="P289" s="9">
        <v>0</v>
      </c>
      <c r="Q289" s="9">
        <v>0</v>
      </c>
      <c r="R289" s="9">
        <v>0</v>
      </c>
      <c r="S289" s="9">
        <v>279983985.73071086</v>
      </c>
      <c r="T289" s="0" t="inlineStr">
        <is>
          <t xml:space="preserve">ZERO_RESIDUAL_NO_SALE</t>
        </is>
      </c>
      <c r="U289" s="9">
        <f>C289-D289-I289-K289-Q289+S289</f>
        <v>2873952537.119789</v>
      </c>
      <c r="V289" s="9">
        <v>0</v>
      </c>
      <c r="W289" s="9">
        <v>0</v>
      </c>
      <c r="X289" s="9">
        <f>V289-W289</f>
        <v>0</v>
      </c>
    </row>
    <row r="290">
      <c r="A290" s="0" t="inlineStr">
        <is>
          <t xml:space="preserve">VG-019</t>
        </is>
      </c>
      <c r="B290" s="23">
        <v>0</v>
      </c>
      <c r="C290" s="9">
        <v>0</v>
      </c>
      <c r="D290" s="9">
        <v>0</v>
      </c>
      <c r="E290" s="9">
        <v>0</v>
      </c>
      <c r="F290" s="9">
        <v>0</v>
      </c>
      <c r="G290" s="9">
        <v>0</v>
      </c>
      <c r="H290" s="9">
        <v>0</v>
      </c>
      <c r="I290" s="9">
        <v>0</v>
      </c>
      <c r="J290" s="9">
        <v>0</v>
      </c>
      <c r="K290" s="9">
        <v>0</v>
      </c>
      <c r="L290" s="9">
        <v>23292390625</v>
      </c>
      <c r="M290" s="9">
        <v>21263981534.090908</v>
      </c>
      <c r="N290" s="9">
        <v>2028409090.909093</v>
      </c>
      <c r="O290" s="9">
        <v>22312500000</v>
      </c>
      <c r="P290" s="9">
        <v>979890625.0000001</v>
      </c>
      <c r="Q290" s="9">
        <v>0</v>
      </c>
      <c r="R290" s="9">
        <v>0</v>
      </c>
      <c r="S290" s="9">
        <v>0</v>
      </c>
      <c r="T290" s="0" t="inlineStr">
        <is>
          <t xml:space="preserve">ZERO_RESIDUAL_NO_SALE</t>
        </is>
      </c>
      <c r="U290" s="9">
        <f>C290-D290-I290-K290-Q290+S290</f>
        <v>0</v>
      </c>
      <c r="V290" s="9">
        <v>23292390625</v>
      </c>
      <c r="W290" s="9">
        <v>23292390625</v>
      </c>
      <c r="X290" s="9">
        <f>V290-W290</f>
        <v>0</v>
      </c>
    </row>
    <row r="291">
      <c r="A291" s="0" t="inlineStr">
        <is>
          <t xml:space="preserve">VG-019</t>
        </is>
      </c>
      <c r="B291" s="23">
        <v>1</v>
      </c>
      <c r="C291" s="9">
        <v>3129102900</v>
      </c>
      <c r="D291" s="9">
        <v>393750000</v>
      </c>
      <c r="E291" s="9">
        <v>1417598768.9393938</v>
      </c>
      <c r="F291" s="9">
        <v>1317754131.0606062</v>
      </c>
      <c r="G291" s="9">
        <v>0</v>
      </c>
      <c r="H291" s="9">
        <v>0</v>
      </c>
      <c r="I291" s="9">
        <v>263550826.21212125</v>
      </c>
      <c r="J291" s="9">
        <v>257186539.7260274</v>
      </c>
      <c r="K291" s="9">
        <v>257186539.7260274</v>
      </c>
      <c r="L291" s="9">
        <v>0</v>
      </c>
      <c r="M291" s="9">
        <v>0</v>
      </c>
      <c r="N291" s="9">
        <v>0</v>
      </c>
      <c r="O291" s="9">
        <v>0</v>
      </c>
      <c r="P291" s="9">
        <v>0</v>
      </c>
      <c r="Q291" s="9">
        <v>0</v>
      </c>
      <c r="R291" s="9">
        <v>0</v>
      </c>
      <c r="S291" s="9">
        <v>0</v>
      </c>
      <c r="T291" s="0" t="inlineStr">
        <is>
          <t xml:space="preserve">ZERO_RESIDUAL_NO_SALE</t>
        </is>
      </c>
      <c r="U291" s="9">
        <f>C291-D291-I291-K291-Q291+S291</f>
        <v>2214615534.0618515</v>
      </c>
      <c r="V291" s="9">
        <v>0</v>
      </c>
      <c r="W291" s="9">
        <v>0</v>
      </c>
      <c r="X291" s="9">
        <f>V291-W291</f>
        <v>0</v>
      </c>
    </row>
    <row r="292">
      <c r="A292" s="0" t="inlineStr">
        <is>
          <t xml:space="preserve">VG-019</t>
        </is>
      </c>
      <c r="B292" s="23">
        <v>2</v>
      </c>
      <c r="C292" s="9">
        <v>3144591959.355</v>
      </c>
      <c r="D292" s="9">
        <v>401625000</v>
      </c>
      <c r="E292" s="9">
        <v>1417598768.9393938</v>
      </c>
      <c r="F292" s="9">
        <v>1325368190.4156063</v>
      </c>
      <c r="G292" s="9">
        <v>0</v>
      </c>
      <c r="H292" s="9">
        <v>0</v>
      </c>
      <c r="I292" s="9">
        <v>265073638.08312127</v>
      </c>
      <c r="J292" s="9">
        <v>258459613.0976712</v>
      </c>
      <c r="K292" s="9">
        <v>1273073.3716438115</v>
      </c>
      <c r="L292" s="9">
        <v>0</v>
      </c>
      <c r="M292" s="9">
        <v>0</v>
      </c>
      <c r="N292" s="9">
        <v>0</v>
      </c>
      <c r="O292" s="9">
        <v>0</v>
      </c>
      <c r="P292" s="9">
        <v>0</v>
      </c>
      <c r="Q292" s="9">
        <v>0</v>
      </c>
      <c r="R292" s="9">
        <v>0</v>
      </c>
      <c r="S292" s="9">
        <v>0</v>
      </c>
      <c r="T292" s="0" t="inlineStr">
        <is>
          <t xml:space="preserve">ZERO_RESIDUAL_NO_SALE</t>
        </is>
      </c>
      <c r="U292" s="9">
        <f>C292-D292-I292-K292-Q292+S292</f>
        <v>2476620247.9002347</v>
      </c>
      <c r="V292" s="9">
        <v>0</v>
      </c>
      <c r="W292" s="9">
        <v>0</v>
      </c>
      <c r="X292" s="9">
        <f>V292-W292</f>
        <v>0</v>
      </c>
    </row>
    <row r="293">
      <c r="A293" s="0" t="inlineStr">
        <is>
          <t xml:space="preserve">VG-019</t>
        </is>
      </c>
      <c r="B293" s="23">
        <v>3</v>
      </c>
      <c r="C293" s="9">
        <v>3160157689.5538077</v>
      </c>
      <c r="D293" s="9">
        <v>409657500</v>
      </c>
      <c r="E293" s="9">
        <v>1417598768.9393938</v>
      </c>
      <c r="F293" s="9">
        <v>1332901420.614414</v>
      </c>
      <c r="G293" s="9">
        <v>0</v>
      </c>
      <c r="H293" s="9">
        <v>0</v>
      </c>
      <c r="I293" s="9">
        <v>266580284.1228828</v>
      </c>
      <c r="J293" s="9">
        <v>259738988.18250474</v>
      </c>
      <c r="K293" s="9">
        <v>1279375.0848335326</v>
      </c>
      <c r="L293" s="9">
        <v>0</v>
      </c>
      <c r="M293" s="9">
        <v>0</v>
      </c>
      <c r="N293" s="9">
        <v>0</v>
      </c>
      <c r="O293" s="9">
        <v>0</v>
      </c>
      <c r="P293" s="9">
        <v>0</v>
      </c>
      <c r="Q293" s="9">
        <v>0</v>
      </c>
      <c r="R293" s="9">
        <v>0</v>
      </c>
      <c r="S293" s="9">
        <v>0</v>
      </c>
      <c r="T293" s="0" t="inlineStr">
        <is>
          <t xml:space="preserve">ZERO_RESIDUAL_NO_SALE</t>
        </is>
      </c>
      <c r="U293" s="9">
        <f>C293-D293-I293-K293-Q293+S293</f>
        <v>2482640530.3460913</v>
      </c>
      <c r="V293" s="9">
        <v>0</v>
      </c>
      <c r="W293" s="9">
        <v>0</v>
      </c>
      <c r="X293" s="9">
        <f>V293-W293</f>
        <v>0</v>
      </c>
    </row>
    <row r="294">
      <c r="A294" s="0" t="inlineStr">
        <is>
          <t xml:space="preserve">VG-019</t>
        </is>
      </c>
      <c r="B294" s="23">
        <v>4</v>
      </c>
      <c r="C294" s="9">
        <v>3175800470.117099</v>
      </c>
      <c r="D294" s="9">
        <v>417850650.00000006</v>
      </c>
      <c r="E294" s="9">
        <v>1417598768.9393938</v>
      </c>
      <c r="F294" s="9">
        <v>1340351051.177705</v>
      </c>
      <c r="G294" s="9">
        <v>0</v>
      </c>
      <c r="H294" s="9">
        <v>0</v>
      </c>
      <c r="I294" s="9">
        <v>268070210.23554102</v>
      </c>
      <c r="J294" s="9">
        <v>261024696.17400813</v>
      </c>
      <c r="K294" s="9">
        <v>1285707.9915033877</v>
      </c>
      <c r="L294" s="9">
        <v>0</v>
      </c>
      <c r="M294" s="9">
        <v>0</v>
      </c>
      <c r="N294" s="9">
        <v>0</v>
      </c>
      <c r="O294" s="9">
        <v>0</v>
      </c>
      <c r="P294" s="9">
        <v>0</v>
      </c>
      <c r="Q294" s="9">
        <v>0</v>
      </c>
      <c r="R294" s="9">
        <v>0</v>
      </c>
      <c r="S294" s="9">
        <v>0</v>
      </c>
      <c r="T294" s="0" t="inlineStr">
        <is>
          <t xml:space="preserve">ZERO_RESIDUAL_NO_SALE</t>
        </is>
      </c>
      <c r="U294" s="9">
        <f>C294-D294-I294-K294-Q294+S294</f>
        <v>2488593901.8900547</v>
      </c>
      <c r="V294" s="9">
        <v>0</v>
      </c>
      <c r="W294" s="9">
        <v>0</v>
      </c>
      <c r="X294" s="9">
        <f>V294-W294</f>
        <v>0</v>
      </c>
    </row>
    <row r="295">
      <c r="A295" s="0" t="inlineStr">
        <is>
          <t xml:space="preserve">VG-019</t>
        </is>
      </c>
      <c r="B295" s="23">
        <v>5</v>
      </c>
      <c r="C295" s="9">
        <v>3191520682.444178</v>
      </c>
      <c r="D295" s="9">
        <v>426207663</v>
      </c>
      <c r="E295" s="9">
        <v>1417598768.9393938</v>
      </c>
      <c r="F295" s="9">
        <v>1347714250.5047843</v>
      </c>
      <c r="G295" s="9">
        <v>0</v>
      </c>
      <c r="H295" s="9">
        <v>0</v>
      </c>
      <c r="I295" s="9">
        <v>269542850.10095686</v>
      </c>
      <c r="J295" s="9">
        <v>262316768.42006946</v>
      </c>
      <c r="K295" s="9">
        <v>1292072.246061325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v>106319907.67045455</v>
      </c>
      <c r="R295" s="9">
        <v>0</v>
      </c>
      <c r="S295" s="9">
        <v>0</v>
      </c>
      <c r="T295" s="0" t="inlineStr">
        <is>
          <t xml:space="preserve">ZERO_RESIDUAL_NO_SALE</t>
        </is>
      </c>
      <c r="U295" s="9">
        <f>C295-D295-I295-K295-Q295+S295</f>
        <v>2388158189.4267054</v>
      </c>
      <c r="V295" s="9">
        <v>0</v>
      </c>
      <c r="W295" s="9">
        <v>0</v>
      </c>
      <c r="X295" s="9">
        <f>V295-W295</f>
        <v>0</v>
      </c>
    </row>
    <row r="296">
      <c r="A296" s="0" t="inlineStr">
        <is>
          <t xml:space="preserve">VG-019</t>
        </is>
      </c>
      <c r="B296" s="23">
        <v>6</v>
      </c>
      <c r="C296" s="9">
        <v>3207318709.8222775</v>
      </c>
      <c r="D296" s="9">
        <v>434731816.26</v>
      </c>
      <c r="E296" s="9">
        <v>1417598768.9393938</v>
      </c>
      <c r="F296" s="9">
        <v>1354988124.622884</v>
      </c>
      <c r="G296" s="9">
        <v>0</v>
      </c>
      <c r="H296" s="9">
        <v>0</v>
      </c>
      <c r="I296" s="9">
        <v>270997624.9245768</v>
      </c>
      <c r="J296" s="9">
        <v>263615236.42374882</v>
      </c>
      <c r="K296" s="9">
        <v>1298468.003679365</v>
      </c>
      <c r="L296" s="9">
        <v>0</v>
      </c>
      <c r="M296" s="9">
        <v>0</v>
      </c>
      <c r="N296" s="9">
        <v>0</v>
      </c>
      <c r="O296" s="9">
        <v>0</v>
      </c>
      <c r="P296" s="9">
        <v>0</v>
      </c>
      <c r="Q296" s="9">
        <v>0</v>
      </c>
      <c r="R296" s="9">
        <v>0</v>
      </c>
      <c r="S296" s="9">
        <v>0</v>
      </c>
      <c r="T296" s="0" t="inlineStr">
        <is>
          <t xml:space="preserve">ZERO_RESIDUAL_NO_SALE</t>
        </is>
      </c>
      <c r="U296" s="9">
        <f>C296-D296-I296-K296-Q296+S296</f>
        <v>2500290800.6340218</v>
      </c>
      <c r="V296" s="9">
        <v>0</v>
      </c>
      <c r="W296" s="9">
        <v>0</v>
      </c>
      <c r="X296" s="9">
        <f>V296-W296</f>
        <v>0</v>
      </c>
    </row>
    <row r="297">
      <c r="A297" s="0" t="inlineStr">
        <is>
          <t xml:space="preserve">VG-019</t>
        </is>
      </c>
      <c r="B297" s="23">
        <v>7</v>
      </c>
      <c r="C297" s="9">
        <v>3223194937.435898</v>
      </c>
      <c r="D297" s="9">
        <v>443426452.5852</v>
      </c>
      <c r="E297" s="9">
        <v>1417598768.9393938</v>
      </c>
      <c r="F297" s="9">
        <v>1362169715.9113042</v>
      </c>
      <c r="G297" s="9">
        <v>0</v>
      </c>
      <c r="H297" s="9">
        <v>0</v>
      </c>
      <c r="I297" s="9">
        <v>272433943.1822609</v>
      </c>
      <c r="J297" s="9">
        <v>264920131.84404638</v>
      </c>
      <c r="K297" s="9">
        <v>1304895.420297563</v>
      </c>
      <c r="L297" s="9">
        <v>0</v>
      </c>
      <c r="M297" s="9">
        <v>0</v>
      </c>
      <c r="N297" s="9">
        <v>0</v>
      </c>
      <c r="O297" s="9">
        <v>0</v>
      </c>
      <c r="P297" s="9">
        <v>0</v>
      </c>
      <c r="Q297" s="9">
        <v>0</v>
      </c>
      <c r="R297" s="9">
        <v>0</v>
      </c>
      <c r="S297" s="9">
        <v>0</v>
      </c>
      <c r="T297" s="0" t="inlineStr">
        <is>
          <t xml:space="preserve">ZERO_RESIDUAL_NO_SALE</t>
        </is>
      </c>
      <c r="U297" s="9">
        <f>C297-D297-I297-K297-Q297+S297</f>
        <v>2506029646.2481394</v>
      </c>
      <c r="V297" s="9">
        <v>0</v>
      </c>
      <c r="W297" s="9">
        <v>0</v>
      </c>
      <c r="X297" s="9">
        <f>V297-W297</f>
        <v>0</v>
      </c>
    </row>
    <row r="298">
      <c r="A298" s="0" t="inlineStr">
        <is>
          <t xml:space="preserve">VG-019</t>
        </is>
      </c>
      <c r="B298" s="23">
        <v>8</v>
      </c>
      <c r="C298" s="9">
        <v>3239149752.376205</v>
      </c>
      <c r="D298" s="9">
        <v>452294981.636904</v>
      </c>
      <c r="E298" s="9">
        <v>1417598768.9393938</v>
      </c>
      <c r="F298" s="9">
        <v>1369256001.799907</v>
      </c>
      <c r="G298" s="9">
        <v>0</v>
      </c>
      <c r="H298" s="9">
        <v>0</v>
      </c>
      <c r="I298" s="9">
        <v>273851200.3599814</v>
      </c>
      <c r="J298" s="9">
        <v>266231486.4966744</v>
      </c>
      <c r="K298" s="9">
        <v>1311354.6526280046</v>
      </c>
      <c r="L298" s="9">
        <v>0</v>
      </c>
      <c r="M298" s="9">
        <v>0</v>
      </c>
      <c r="N298" s="9">
        <v>0</v>
      </c>
      <c r="O298" s="9">
        <v>0</v>
      </c>
      <c r="P298" s="9">
        <v>0</v>
      </c>
      <c r="Q298" s="9">
        <v>0</v>
      </c>
      <c r="R298" s="9">
        <v>0</v>
      </c>
      <c r="S298" s="9">
        <v>0</v>
      </c>
      <c r="T298" s="0" t="inlineStr">
        <is>
          <t xml:space="preserve">ZERO_RESIDUAL_NO_SALE</t>
        </is>
      </c>
      <c r="U298" s="9">
        <f>C298-D298-I298-K298-Q298+S298</f>
        <v>2511692215.7266912</v>
      </c>
      <c r="V298" s="9">
        <v>0</v>
      </c>
      <c r="W298" s="9">
        <v>0</v>
      </c>
      <c r="X298" s="9">
        <f>V298-W298</f>
        <v>0</v>
      </c>
    </row>
    <row r="299">
      <c r="A299" s="0" t="inlineStr">
        <is>
          <t xml:space="preserve">VG-019</t>
        </is>
      </c>
      <c r="B299" s="23">
        <v>9</v>
      </c>
      <c r="C299" s="9">
        <v>3255183543.6504674</v>
      </c>
      <c r="D299" s="9">
        <v>461340881.2696421</v>
      </c>
      <c r="E299" s="9">
        <v>1417598768.9393938</v>
      </c>
      <c r="F299" s="9">
        <v>1376243893.4414313</v>
      </c>
      <c r="G299" s="9">
        <v>0</v>
      </c>
      <c r="H299" s="9">
        <v>0</v>
      </c>
      <c r="I299" s="9">
        <v>275248778.68828624</v>
      </c>
      <c r="J299" s="9">
        <v>267549332.35483295</v>
      </c>
      <c r="K299" s="9">
        <v>1317845.8581585586</v>
      </c>
      <c r="L299" s="9">
        <v>0</v>
      </c>
      <c r="M299" s="9">
        <v>0</v>
      </c>
      <c r="N299" s="9">
        <v>0</v>
      </c>
      <c r="O299" s="9">
        <v>0</v>
      </c>
      <c r="P299" s="9">
        <v>0</v>
      </c>
      <c r="Q299" s="9">
        <v>0</v>
      </c>
      <c r="R299" s="9">
        <v>0</v>
      </c>
      <c r="S299" s="9">
        <v>0</v>
      </c>
      <c r="T299" s="0" t="inlineStr">
        <is>
          <t xml:space="preserve">ZERO_RESIDUAL_NO_SALE</t>
        </is>
      </c>
      <c r="U299" s="9">
        <f>C299-D299-I299-K299-Q299+S299</f>
        <v>2517276037.83438</v>
      </c>
      <c r="V299" s="9">
        <v>0</v>
      </c>
      <c r="W299" s="9">
        <v>0</v>
      </c>
      <c r="X299" s="9">
        <f>V299-W299</f>
        <v>0</v>
      </c>
    </row>
    <row r="300">
      <c r="A300" s="0" t="inlineStr">
        <is>
          <t xml:space="preserve">VG-019</t>
        </is>
      </c>
      <c r="B300" s="23">
        <v>10</v>
      </c>
      <c r="C300" s="9">
        <v>3271296702.191537</v>
      </c>
      <c r="D300" s="9">
        <v>470567698.89503497</v>
      </c>
      <c r="E300" s="9">
        <v>1417598768.9393938</v>
      </c>
      <c r="F300" s="9">
        <v>1383130234.3571084</v>
      </c>
      <c r="G300" s="9">
        <v>0</v>
      </c>
      <c r="H300" s="9">
        <v>0</v>
      </c>
      <c r="I300" s="9">
        <v>276626046.8714217</v>
      </c>
      <c r="J300" s="9">
        <v>268873701.54998934</v>
      </c>
      <c r="K300" s="9">
        <v>1324369.1951563954</v>
      </c>
      <c r="L300" s="9">
        <v>0</v>
      </c>
      <c r="M300" s="9">
        <v>0</v>
      </c>
      <c r="N300" s="9">
        <v>0</v>
      </c>
      <c r="O300" s="9">
        <v>0</v>
      </c>
      <c r="P300" s="9">
        <v>0</v>
      </c>
      <c r="Q300" s="9">
        <v>106319907.67045455</v>
      </c>
      <c r="R300" s="9">
        <v>0</v>
      </c>
      <c r="S300" s="9">
        <v>0</v>
      </c>
      <c r="T300" s="0" t="inlineStr">
        <is>
          <t xml:space="preserve">ZERO_RESIDUAL_NO_SALE</t>
        </is>
      </c>
      <c r="U300" s="9">
        <f>C300-D300-I300-K300-Q300+S300</f>
        <v>2416458679.559469</v>
      </c>
      <c r="V300" s="9">
        <v>0</v>
      </c>
      <c r="W300" s="9">
        <v>0</v>
      </c>
      <c r="X300" s="9">
        <f>V300-W300</f>
        <v>0</v>
      </c>
    </row>
    <row r="301">
      <c r="A301" s="0" t="inlineStr">
        <is>
          <t xml:space="preserve">VG-019</t>
        </is>
      </c>
      <c r="B301" s="23">
        <v>11</v>
      </c>
      <c r="C301" s="9">
        <v>3287489620.8673854</v>
      </c>
      <c r="D301" s="9">
        <v>479979052.8729357</v>
      </c>
      <c r="E301" s="9">
        <v>1417598768.9393938</v>
      </c>
      <c r="F301" s="9">
        <v>1389911799.0550559</v>
      </c>
      <c r="G301" s="9">
        <v>0</v>
      </c>
      <c r="H301" s="9">
        <v>0</v>
      </c>
      <c r="I301" s="9">
        <v>277982359.8110112</v>
      </c>
      <c r="J301" s="9">
        <v>270204626.3726618</v>
      </c>
      <c r="K301" s="9">
        <v>1330924.8226724863</v>
      </c>
      <c r="L301" s="9">
        <v>0</v>
      </c>
      <c r="M301" s="9">
        <v>0</v>
      </c>
      <c r="N301" s="9">
        <v>0</v>
      </c>
      <c r="O301" s="9">
        <v>0</v>
      </c>
      <c r="P301" s="9">
        <v>0</v>
      </c>
      <c r="Q301" s="9">
        <v>0</v>
      </c>
      <c r="R301" s="9">
        <v>0</v>
      </c>
      <c r="S301" s="9">
        <v>0</v>
      </c>
      <c r="T301" s="0" t="inlineStr">
        <is>
          <t xml:space="preserve">ZERO_RESIDUAL_NO_SALE</t>
        </is>
      </c>
      <c r="U301" s="9">
        <f>C301-D301-I301-K301-Q301+S301</f>
        <v>2528197283.360766</v>
      </c>
      <c r="V301" s="9">
        <v>0</v>
      </c>
      <c r="W301" s="9">
        <v>0</v>
      </c>
      <c r="X301" s="9">
        <f>V301-W301</f>
        <v>0</v>
      </c>
    </row>
    <row r="302">
      <c r="A302" s="0" t="inlineStr">
        <is>
          <t xml:space="preserve">VG-019</t>
        </is>
      </c>
      <c r="B302" s="23">
        <v>12</v>
      </c>
      <c r="C302" s="9">
        <v>3303762694.4906783</v>
      </c>
      <c r="D302" s="9">
        <v>489578633.9303944</v>
      </c>
      <c r="E302" s="9">
        <v>1417598768.9393938</v>
      </c>
      <c r="F302" s="9">
        <v>1396585291.62089</v>
      </c>
      <c r="G302" s="9">
        <v>0</v>
      </c>
      <c r="H302" s="9">
        <v>0</v>
      </c>
      <c r="I302" s="9">
        <v>279317058.324178</v>
      </c>
      <c r="J302" s="9">
        <v>271542139.2732065</v>
      </c>
      <c r="K302" s="9">
        <v>1337512.9005446434</v>
      </c>
      <c r="L302" s="9">
        <v>0</v>
      </c>
      <c r="M302" s="9">
        <v>0</v>
      </c>
      <c r="N302" s="9">
        <v>0</v>
      </c>
      <c r="O302" s="9">
        <v>0</v>
      </c>
      <c r="P302" s="9">
        <v>0</v>
      </c>
      <c r="Q302" s="9">
        <v>0</v>
      </c>
      <c r="R302" s="9">
        <v>0</v>
      </c>
      <c r="S302" s="9">
        <v>0</v>
      </c>
      <c r="T302" s="0" t="inlineStr">
        <is>
          <t xml:space="preserve">ZERO_RESIDUAL_NO_SALE</t>
        </is>
      </c>
      <c r="U302" s="9">
        <f>C302-D302-I302-K302-Q302+S302</f>
        <v>2533529489.3355613</v>
      </c>
      <c r="V302" s="9">
        <v>0</v>
      </c>
      <c r="W302" s="9">
        <v>0</v>
      </c>
      <c r="X302" s="9">
        <f>V302-W302</f>
        <v>0</v>
      </c>
    </row>
    <row r="303">
      <c r="A303" s="0" t="inlineStr">
        <is>
          <t xml:space="preserve">VG-019</t>
        </is>
      </c>
      <c r="B303" s="23">
        <v>13</v>
      </c>
      <c r="C303" s="9">
        <v>3320116319.8284073</v>
      </c>
      <c r="D303" s="9">
        <v>499370206.6090023</v>
      </c>
      <c r="E303" s="9">
        <v>1417598768.9393938</v>
      </c>
      <c r="F303" s="9">
        <v>1403147344.2800114</v>
      </c>
      <c r="G303" s="9">
        <v>0</v>
      </c>
      <c r="H303" s="9">
        <v>0</v>
      </c>
      <c r="I303" s="9">
        <v>280629468.8560023</v>
      </c>
      <c r="J303" s="9">
        <v>272886272.8626088</v>
      </c>
      <c r="K303" s="9">
        <v>1344133.589402318</v>
      </c>
      <c r="L303" s="9">
        <v>0</v>
      </c>
      <c r="M303" s="9">
        <v>0</v>
      </c>
      <c r="N303" s="9">
        <v>0</v>
      </c>
      <c r="O303" s="9">
        <v>0</v>
      </c>
      <c r="P303" s="9">
        <v>0</v>
      </c>
      <c r="Q303" s="9">
        <v>0</v>
      </c>
      <c r="R303" s="9">
        <v>0</v>
      </c>
      <c r="S303" s="9">
        <v>0</v>
      </c>
      <c r="T303" s="0" t="inlineStr">
        <is>
          <t xml:space="preserve">ZERO_RESIDUAL_NO_SALE</t>
        </is>
      </c>
      <c r="U303" s="9">
        <f>C303-D303-I303-K303-Q303+S303</f>
        <v>2538772510.7740006</v>
      </c>
      <c r="V303" s="9">
        <v>0</v>
      </c>
      <c r="W303" s="9">
        <v>0</v>
      </c>
      <c r="X303" s="9">
        <f>V303-W303</f>
        <v>0</v>
      </c>
    </row>
    <row r="304">
      <c r="A304" s="0" t="inlineStr">
        <is>
          <t xml:space="preserve">VG-019</t>
        </is>
      </c>
      <c r="B304" s="23">
        <v>14</v>
      </c>
      <c r="C304" s="9">
        <v>3336550895.611558</v>
      </c>
      <c r="D304" s="9">
        <v>509357610.7411824</v>
      </c>
      <c r="E304" s="9">
        <v>1417598768.9393938</v>
      </c>
      <c r="F304" s="9">
        <v>1409594515.9309819</v>
      </c>
      <c r="G304" s="9">
        <v>0</v>
      </c>
      <c r="H304" s="9">
        <v>0</v>
      </c>
      <c r="I304" s="9">
        <v>281918903.1861964</v>
      </c>
      <c r="J304" s="9">
        <v>274237059.91327876</v>
      </c>
      <c r="K304" s="9">
        <v>1350787.0506699681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0</v>
      </c>
      <c r="S304" s="9">
        <v>0</v>
      </c>
      <c r="T304" s="0" t="inlineStr">
        <is>
          <t xml:space="preserve">ZERO_RESIDUAL_NO_SALE</t>
        </is>
      </c>
      <c r="U304" s="9">
        <f>C304-D304-I304-K304-Q304+S304</f>
        <v>2543923594.633509</v>
      </c>
      <c r="V304" s="9">
        <v>0</v>
      </c>
      <c r="W304" s="9">
        <v>0</v>
      </c>
      <c r="X304" s="9">
        <f>V304-W304</f>
        <v>0</v>
      </c>
    </row>
    <row r="305">
      <c r="A305" s="0" t="inlineStr">
        <is>
          <t xml:space="preserve">VG-019</t>
        </is>
      </c>
      <c r="B305" s="23">
        <v>15</v>
      </c>
      <c r="C305" s="9">
        <v>3353066822.544836</v>
      </c>
      <c r="D305" s="9">
        <v>519544762.956006</v>
      </c>
      <c r="E305" s="9">
        <v>1417598768.9393938</v>
      </c>
      <c r="F305" s="9">
        <v>1415923290.6494362</v>
      </c>
      <c r="G305" s="9">
        <v>0</v>
      </c>
      <c r="H305" s="9">
        <v>0</v>
      </c>
      <c r="I305" s="9">
        <v>283184658.1298873</v>
      </c>
      <c r="J305" s="9">
        <v>0</v>
      </c>
      <c r="K305" s="9">
        <v>-274237059.91327876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0</v>
      </c>
      <c r="S305" s="9">
        <v>274237059.91327876</v>
      </c>
      <c r="T305" s="0" t="inlineStr">
        <is>
          <t xml:space="preserve">ZERO_RESIDUAL_NO_SALE</t>
        </is>
      </c>
      <c r="U305" s="9">
        <f>C305-D305-I305-K305-Q305+S305</f>
        <v>2824574461.3722215</v>
      </c>
      <c r="V305" s="9">
        <v>0</v>
      </c>
      <c r="W305" s="9">
        <v>0</v>
      </c>
      <c r="X305" s="9">
        <f>V305-W305</f>
        <v>0</v>
      </c>
    </row>
    <row r="306">
      <c r="A306" s="0" t="inlineStr">
        <is>
          <t xml:space="preserve">VG-020</t>
        </is>
      </c>
      <c r="B306" s="23">
        <v>0</v>
      </c>
      <c r="C306" s="9">
        <v>0</v>
      </c>
      <c r="D306" s="9">
        <v>0</v>
      </c>
      <c r="E306" s="9">
        <v>0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  <c r="K306" s="9">
        <v>0</v>
      </c>
      <c r="L306" s="9">
        <v>23292390625</v>
      </c>
      <c r="M306" s="9">
        <v>21263981534.090908</v>
      </c>
      <c r="N306" s="9">
        <v>2028409090.909093</v>
      </c>
      <c r="O306" s="9">
        <v>22312500000</v>
      </c>
      <c r="P306" s="9">
        <v>979890625.0000001</v>
      </c>
      <c r="Q306" s="9">
        <v>0</v>
      </c>
      <c r="R306" s="9">
        <v>0</v>
      </c>
      <c r="S306" s="9">
        <v>0</v>
      </c>
      <c r="T306" s="0" t="inlineStr">
        <is>
          <t xml:space="preserve">ZERO_RESIDUAL_NO_SALE</t>
        </is>
      </c>
      <c r="U306" s="9">
        <f>C306-D306-I306-K306-Q306+S306</f>
        <v>0</v>
      </c>
      <c r="V306" s="9">
        <v>23292390625</v>
      </c>
      <c r="W306" s="9">
        <v>23292390625</v>
      </c>
      <c r="X306" s="9">
        <f>V306-W306</f>
        <v>0</v>
      </c>
    </row>
    <row r="307">
      <c r="A307" s="0" t="inlineStr">
        <is>
          <t xml:space="preserve">VG-020</t>
        </is>
      </c>
      <c r="B307" s="23">
        <v>1</v>
      </c>
      <c r="C307" s="9">
        <v>3155582220</v>
      </c>
      <c r="D307" s="9">
        <v>393750000</v>
      </c>
      <c r="E307" s="9">
        <v>1417598768.9393938</v>
      </c>
      <c r="F307" s="9">
        <v>1344233451.0606062</v>
      </c>
      <c r="G307" s="9">
        <v>0</v>
      </c>
      <c r="H307" s="9">
        <v>0</v>
      </c>
      <c r="I307" s="9">
        <v>268846690.21212125</v>
      </c>
      <c r="J307" s="9">
        <v>259362922.19178084</v>
      </c>
      <c r="K307" s="9">
        <v>259362922.19178084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0</v>
      </c>
      <c r="S307" s="9">
        <v>0</v>
      </c>
      <c r="T307" s="0" t="inlineStr">
        <is>
          <t xml:space="preserve">ZERO_RESIDUAL_NO_SALE</t>
        </is>
      </c>
      <c r="U307" s="9">
        <f>C307-D307-I307-K307-Q307+S307</f>
        <v>2233622607.596098</v>
      </c>
      <c r="V307" s="9">
        <v>0</v>
      </c>
      <c r="W307" s="9">
        <v>0</v>
      </c>
      <c r="X307" s="9">
        <f>V307-W307</f>
        <v>0</v>
      </c>
    </row>
    <row r="308">
      <c r="A308" s="0" t="inlineStr">
        <is>
          <t xml:space="preserve">VG-020</t>
        </is>
      </c>
      <c r="B308" s="23">
        <v>2</v>
      </c>
      <c r="C308" s="9">
        <v>3171202351.9890003</v>
      </c>
      <c r="D308" s="9">
        <v>401625000</v>
      </c>
      <c r="E308" s="9">
        <v>1417598768.9393938</v>
      </c>
      <c r="F308" s="9">
        <v>1351978583.0496066</v>
      </c>
      <c r="G308" s="9">
        <v>0</v>
      </c>
      <c r="H308" s="9">
        <v>0</v>
      </c>
      <c r="I308" s="9">
        <v>270395716.60992134</v>
      </c>
      <c r="J308" s="9">
        <v>260646768.6566302</v>
      </c>
      <c r="K308" s="9">
        <v>1283846.4648493528</v>
      </c>
      <c r="L308" s="9">
        <v>0</v>
      </c>
      <c r="M308" s="9">
        <v>0</v>
      </c>
      <c r="N308" s="9">
        <v>0</v>
      </c>
      <c r="O308" s="9">
        <v>0</v>
      </c>
      <c r="P308" s="9">
        <v>0</v>
      </c>
      <c r="Q308" s="9">
        <v>0</v>
      </c>
      <c r="R308" s="9">
        <v>0</v>
      </c>
      <c r="S308" s="9">
        <v>0</v>
      </c>
      <c r="T308" s="0" t="inlineStr">
        <is>
          <t xml:space="preserve">ZERO_RESIDUAL_NO_SALE</t>
        </is>
      </c>
      <c r="U308" s="9">
        <f>C308-D308-I308-K308-Q308+S308</f>
        <v>2497897788.9142294</v>
      </c>
      <c r="V308" s="9">
        <v>0</v>
      </c>
      <c r="W308" s="9">
        <v>0</v>
      </c>
      <c r="X308" s="9">
        <f>V308-W308</f>
        <v>0</v>
      </c>
    </row>
    <row r="309">
      <c r="A309" s="0" t="inlineStr">
        <is>
          <t xml:space="preserve">VG-020</t>
        </is>
      </c>
      <c r="B309" s="23">
        <v>3</v>
      </c>
      <c r="C309" s="9">
        <v>3186899803.6313457</v>
      </c>
      <c r="D309" s="9">
        <v>409657500</v>
      </c>
      <c r="E309" s="9">
        <v>1417598768.9393938</v>
      </c>
      <c r="F309" s="9">
        <v>1359643534.691952</v>
      </c>
      <c r="G309" s="9">
        <v>0</v>
      </c>
      <c r="H309" s="9">
        <v>0</v>
      </c>
      <c r="I309" s="9">
        <v>271928706.93839043</v>
      </c>
      <c r="J309" s="9">
        <v>261936970.16148046</v>
      </c>
      <c r="K309" s="9">
        <v>1290201.5048502684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v>0</v>
      </c>
      <c r="R309" s="9">
        <v>0</v>
      </c>
      <c r="S309" s="9">
        <v>0</v>
      </c>
      <c r="T309" s="0" t="inlineStr">
        <is>
          <t xml:space="preserve">ZERO_RESIDUAL_NO_SALE</t>
        </is>
      </c>
      <c r="U309" s="9">
        <f>C309-D309-I309-K309-Q309+S309</f>
        <v>2504023395.188105</v>
      </c>
      <c r="V309" s="9">
        <v>0</v>
      </c>
      <c r="W309" s="9">
        <v>0</v>
      </c>
      <c r="X309" s="9">
        <f>V309-W309</f>
        <v>0</v>
      </c>
    </row>
    <row r="310">
      <c r="A310" s="0" t="inlineStr">
        <is>
          <t xml:space="preserve">VG-020</t>
        </is>
      </c>
      <c r="B310" s="23">
        <v>4</v>
      </c>
      <c r="C310" s="9">
        <v>3202674957.659322</v>
      </c>
      <c r="D310" s="9">
        <v>417850650.00000006</v>
      </c>
      <c r="E310" s="9">
        <v>1417598768.9393938</v>
      </c>
      <c r="F310" s="9">
        <v>1367225538.719928</v>
      </c>
      <c r="G310" s="9">
        <v>0</v>
      </c>
      <c r="H310" s="9">
        <v>0</v>
      </c>
      <c r="I310" s="9">
        <v>273445107.7439856</v>
      </c>
      <c r="J310" s="9">
        <v>263233558.16377985</v>
      </c>
      <c r="K310" s="9">
        <v>1296588.0022993982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0</v>
      </c>
      <c r="S310" s="9">
        <v>0</v>
      </c>
      <c r="T310" s="0" t="inlineStr">
        <is>
          <t xml:space="preserve">ZERO_RESIDUAL_NO_SALE</t>
        </is>
      </c>
      <c r="U310" s="9">
        <f>C310-D310-I310-K310-Q310+S310</f>
        <v>2510082611.913037</v>
      </c>
      <c r="V310" s="9">
        <v>0</v>
      </c>
      <c r="W310" s="9">
        <v>0</v>
      </c>
      <c r="X310" s="9">
        <f>V310-W310</f>
        <v>0</v>
      </c>
    </row>
    <row r="311">
      <c r="A311" s="0" t="inlineStr">
        <is>
          <t xml:space="preserve">VG-020</t>
        </is>
      </c>
      <c r="B311" s="23">
        <v>5</v>
      </c>
      <c r="C311" s="9">
        <v>3218528198.6997347</v>
      </c>
      <c r="D311" s="9">
        <v>426207663</v>
      </c>
      <c r="E311" s="9">
        <v>1417598768.9393938</v>
      </c>
      <c r="F311" s="9">
        <v>1374721766.760341</v>
      </c>
      <c r="G311" s="9">
        <v>0</v>
      </c>
      <c r="H311" s="9">
        <v>0</v>
      </c>
      <c r="I311" s="9">
        <v>274944353.3520682</v>
      </c>
      <c r="J311" s="9">
        <v>264536564.2766905</v>
      </c>
      <c r="K311" s="9">
        <v>1303006.1129106581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106319907.67045455</v>
      </c>
      <c r="R311" s="9">
        <v>0</v>
      </c>
      <c r="S311" s="9">
        <v>0</v>
      </c>
      <c r="T311" s="0" t="inlineStr">
        <is>
          <t xml:space="preserve">ZERO_RESIDUAL_NO_SALE</t>
        </is>
      </c>
      <c r="U311" s="9">
        <f>C311-D311-I311-K311-Q311+S311</f>
        <v>2409753268.5643015</v>
      </c>
      <c r="V311" s="9">
        <v>0</v>
      </c>
      <c r="W311" s="9">
        <v>0</v>
      </c>
      <c r="X311" s="9">
        <f>V311-W311</f>
        <v>0</v>
      </c>
    </row>
    <row r="312">
      <c r="A312" s="0" t="inlineStr">
        <is>
          <t xml:space="preserve">VG-020</t>
        </is>
      </c>
      <c r="B312" s="23">
        <v>6</v>
      </c>
      <c r="C312" s="9">
        <v>3234459913.2832985</v>
      </c>
      <c r="D312" s="9">
        <v>434731816.26</v>
      </c>
      <c r="E312" s="9">
        <v>1417598768.9393938</v>
      </c>
      <c r="F312" s="9">
        <v>1382129328.0839045</v>
      </c>
      <c r="G312" s="9">
        <v>0</v>
      </c>
      <c r="H312" s="9">
        <v>0</v>
      </c>
      <c r="I312" s="9">
        <v>276425865.61678094</v>
      </c>
      <c r="J312" s="9">
        <v>265846020.26986018</v>
      </c>
      <c r="K312" s="9">
        <v>1309455.9931696653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0</v>
      </c>
      <c r="T312" s="0" t="inlineStr">
        <is>
          <t xml:space="preserve">ZERO_RESIDUAL_NO_SALE</t>
        </is>
      </c>
      <c r="U312" s="9">
        <f>C312-D312-I312-K312-Q312+S312</f>
        <v>2521992775.4133477</v>
      </c>
      <c r="V312" s="9">
        <v>0</v>
      </c>
      <c r="W312" s="9">
        <v>0</v>
      </c>
      <c r="X312" s="9">
        <f>V312-W312</f>
        <v>0</v>
      </c>
    </row>
    <row r="313">
      <c r="A313" s="0" t="inlineStr">
        <is>
          <t xml:space="preserve">VG-020</t>
        </is>
      </c>
      <c r="B313" s="23">
        <v>7</v>
      </c>
      <c r="C313" s="9">
        <v>3250470489.8540506</v>
      </c>
      <c r="D313" s="9">
        <v>443426452.5852</v>
      </c>
      <c r="E313" s="9">
        <v>1417598768.9393938</v>
      </c>
      <c r="F313" s="9">
        <v>1389445268.329457</v>
      </c>
      <c r="G313" s="9">
        <v>0</v>
      </c>
      <c r="H313" s="9">
        <v>0</v>
      </c>
      <c r="I313" s="9">
        <v>277889053.6658914</v>
      </c>
      <c r="J313" s="9">
        <v>267161958.07019594</v>
      </c>
      <c r="K313" s="9">
        <v>1315937.800335765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0</v>
      </c>
      <c r="S313" s="9">
        <v>0</v>
      </c>
      <c r="T313" s="0" t="inlineStr">
        <is>
          <t xml:space="preserve">ZERO_RESIDUAL_NO_SALE</t>
        </is>
      </c>
      <c r="U313" s="9">
        <f>C313-D313-I313-K313-Q313+S313</f>
        <v>2527839045.8026237</v>
      </c>
      <c r="V313" s="9">
        <v>0</v>
      </c>
      <c r="W313" s="9">
        <v>0</v>
      </c>
      <c r="X313" s="9">
        <f>V313-W313</f>
        <v>0</v>
      </c>
    </row>
    <row r="314">
      <c r="A314" s="0" t="inlineStr">
        <is>
          <t xml:space="preserve">VG-020</t>
        </is>
      </c>
      <c r="B314" s="23">
        <v>8</v>
      </c>
      <c r="C314" s="9">
        <v>3266560318.7788277</v>
      </c>
      <c r="D314" s="9">
        <v>452294981.636904</v>
      </c>
      <c r="E314" s="9">
        <v>1417598768.9393938</v>
      </c>
      <c r="F314" s="9">
        <v>1396666568.2025301</v>
      </c>
      <c r="G314" s="9">
        <v>0</v>
      </c>
      <c r="H314" s="9">
        <v>0</v>
      </c>
      <c r="I314" s="9">
        <v>279333313.640506</v>
      </c>
      <c r="J314" s="9">
        <v>268484409.7626434</v>
      </c>
      <c r="K314" s="9">
        <v>1322451.6924474537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v>0</v>
      </c>
      <c r="R314" s="9">
        <v>0</v>
      </c>
      <c r="S314" s="9">
        <v>0</v>
      </c>
      <c r="T314" s="0" t="inlineStr">
        <is>
          <t xml:space="preserve">ZERO_RESIDUAL_NO_SALE</t>
        </is>
      </c>
      <c r="U314" s="9">
        <f>C314-D314-I314-K314-Q314+S314</f>
        <v>2533609571.8089705</v>
      </c>
      <c r="V314" s="9">
        <v>0</v>
      </c>
      <c r="W314" s="9">
        <v>0</v>
      </c>
      <c r="X314" s="9">
        <f>V314-W314</f>
        <v>0</v>
      </c>
    </row>
    <row r="315">
      <c r="A315" s="0" t="inlineStr">
        <is>
          <t xml:space="preserve">VG-020</t>
        </is>
      </c>
      <c r="B315" s="23">
        <v>9</v>
      </c>
      <c r="C315" s="9">
        <v>3282729792.3567834</v>
      </c>
      <c r="D315" s="9">
        <v>461340881.2696421</v>
      </c>
      <c r="E315" s="9">
        <v>1417598768.9393938</v>
      </c>
      <c r="F315" s="9">
        <v>1403790142.1477473</v>
      </c>
      <c r="G315" s="9">
        <v>0</v>
      </c>
      <c r="H315" s="9">
        <v>0</v>
      </c>
      <c r="I315" s="9">
        <v>280758028.42954946</v>
      </c>
      <c r="J315" s="9">
        <v>269813407.5909685</v>
      </c>
      <c r="K315" s="9">
        <v>1328997.8283250928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v>0</v>
      </c>
      <c r="R315" s="9">
        <v>0</v>
      </c>
      <c r="S315" s="9">
        <v>0</v>
      </c>
      <c r="T315" s="0" t="inlineStr">
        <is>
          <t xml:space="preserve">ZERO_RESIDUAL_NO_SALE</t>
        </is>
      </c>
      <c r="U315" s="9">
        <f>C315-D315-I315-K315-Q315+S315</f>
        <v>2539301884.8292665</v>
      </c>
      <c r="V315" s="9">
        <v>0</v>
      </c>
      <c r="W315" s="9">
        <v>0</v>
      </c>
      <c r="X315" s="9">
        <f>V315-W315</f>
        <v>0</v>
      </c>
    </row>
    <row r="316">
      <c r="A316" s="0" t="inlineStr">
        <is>
          <t xml:space="preserve">VG-020</t>
        </is>
      </c>
      <c r="B316" s="23">
        <v>10</v>
      </c>
      <c r="C316" s="9">
        <v>3298979304.8289485</v>
      </c>
      <c r="D316" s="9">
        <v>470567698.89503497</v>
      </c>
      <c r="E316" s="9">
        <v>1417598768.9393938</v>
      </c>
      <c r="F316" s="9">
        <v>1410812836.99452</v>
      </c>
      <c r="G316" s="9">
        <v>0</v>
      </c>
      <c r="H316" s="9">
        <v>0</v>
      </c>
      <c r="I316" s="9">
        <v>282162567.398904</v>
      </c>
      <c r="J316" s="9">
        <v>271148983.9585437</v>
      </c>
      <c r="K316" s="9">
        <v>1335576.3675752282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v>106319907.67045455</v>
      </c>
      <c r="R316" s="9">
        <v>0</v>
      </c>
      <c r="S316" s="9">
        <v>0</v>
      </c>
      <c r="T316" s="0" t="inlineStr">
        <is>
          <t xml:space="preserve">ZERO_RESIDUAL_NO_SALE</t>
        </is>
      </c>
      <c r="U316" s="9">
        <f>C316-D316-I316-K316-Q316+S316</f>
        <v>2438593554.49698</v>
      </c>
      <c r="V316" s="9">
        <v>0</v>
      </c>
      <c r="W316" s="9">
        <v>0</v>
      </c>
      <c r="X316" s="9">
        <f>V316-W316</f>
        <v>0</v>
      </c>
    </row>
    <row r="317">
      <c r="A317" s="0" t="inlineStr">
        <is>
          <t xml:space="preserve">VG-020</t>
        </is>
      </c>
      <c r="B317" s="23">
        <v>11</v>
      </c>
      <c r="C317" s="9">
        <v>3315309252.3878527</v>
      </c>
      <c r="D317" s="9">
        <v>479979052.8729357</v>
      </c>
      <c r="E317" s="9">
        <v>1417598768.9393938</v>
      </c>
      <c r="F317" s="9">
        <v>1417731430.5755231</v>
      </c>
      <c r="G317" s="9">
        <v>0</v>
      </c>
      <c r="H317" s="9">
        <v>0</v>
      </c>
      <c r="I317" s="9">
        <v>283546286.1151046</v>
      </c>
      <c r="J317" s="9">
        <v>272491171.42913854</v>
      </c>
      <c r="K317" s="9">
        <v>1342187.4705948234</v>
      </c>
      <c r="L317" s="9">
        <v>0</v>
      </c>
      <c r="M317" s="9">
        <v>0</v>
      </c>
      <c r="N317" s="9">
        <v>0</v>
      </c>
      <c r="O317" s="9">
        <v>0</v>
      </c>
      <c r="P317" s="9">
        <v>0</v>
      </c>
      <c r="Q317" s="9">
        <v>0</v>
      </c>
      <c r="R317" s="9">
        <v>0</v>
      </c>
      <c r="S317" s="9">
        <v>0</v>
      </c>
      <c r="T317" s="0" t="inlineStr">
        <is>
          <t xml:space="preserve">ZERO_RESIDUAL_NO_SALE</t>
        </is>
      </c>
      <c r="U317" s="9">
        <f>C317-D317-I317-K317-Q317+S317</f>
        <v>2550441725.9292173</v>
      </c>
      <c r="V317" s="9">
        <v>0</v>
      </c>
      <c r="W317" s="9">
        <v>0</v>
      </c>
      <c r="X317" s="9">
        <f>V317-W317</f>
        <v>0</v>
      </c>
    </row>
    <row r="318">
      <c r="A318" s="0" t="inlineStr">
        <is>
          <t xml:space="preserve">VG-020</t>
        </is>
      </c>
      <c r="B318" s="23">
        <v>12</v>
      </c>
      <c r="C318" s="9">
        <v>3331720033.1871724</v>
      </c>
      <c r="D318" s="9">
        <v>489578633.9303944</v>
      </c>
      <c r="E318" s="9">
        <v>1417598768.9393938</v>
      </c>
      <c r="F318" s="9">
        <v>1424542630.317384</v>
      </c>
      <c r="G318" s="9">
        <v>0</v>
      </c>
      <c r="H318" s="9">
        <v>0</v>
      </c>
      <c r="I318" s="9">
        <v>284908526.0634768</v>
      </c>
      <c r="J318" s="9">
        <v>273840002.7277128</v>
      </c>
      <c r="K318" s="9">
        <v>1348831.2985742688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v>0</v>
      </c>
      <c r="R318" s="9">
        <v>0</v>
      </c>
      <c r="S318" s="9">
        <v>0</v>
      </c>
      <c r="T318" s="0" t="inlineStr">
        <is>
          <t xml:space="preserve">ZERO_RESIDUAL_NO_SALE</t>
        </is>
      </c>
      <c r="U318" s="9">
        <f>C318-D318-I318-K318-Q318+S318</f>
        <v>2555884041.8947268</v>
      </c>
      <c r="V318" s="9">
        <v>0</v>
      </c>
      <c r="W318" s="9">
        <v>0</v>
      </c>
      <c r="X318" s="9">
        <f>V318-W318</f>
        <v>0</v>
      </c>
    </row>
    <row r="319">
      <c r="A319" s="0" t="inlineStr">
        <is>
          <t xml:space="preserve">VG-020</t>
        </is>
      </c>
      <c r="B319" s="23">
        <v>13</v>
      </c>
      <c r="C319" s="9">
        <v>3348212047.3514485</v>
      </c>
      <c r="D319" s="9">
        <v>499370206.6090023</v>
      </c>
      <c r="E319" s="9">
        <v>1417598768.9393938</v>
      </c>
      <c r="F319" s="9">
        <v>1431243071.8030527</v>
      </c>
      <c r="G319" s="9">
        <v>0</v>
      </c>
      <c r="H319" s="9">
        <v>0</v>
      </c>
      <c r="I319" s="9">
        <v>286248614.36061054</v>
      </c>
      <c r="J319" s="9">
        <v>275195510.74121493</v>
      </c>
      <c r="K319" s="9">
        <v>1355508.013502121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0</v>
      </c>
      <c r="S319" s="9">
        <v>0</v>
      </c>
      <c r="T319" s="0" t="inlineStr">
        <is>
          <t xml:space="preserve">ZERO_RESIDUAL_NO_SALE</t>
        </is>
      </c>
      <c r="U319" s="9">
        <f>C319-D319-I319-K319-Q319+S319</f>
        <v>2561237718.368334</v>
      </c>
      <c r="V319" s="9">
        <v>0</v>
      </c>
      <c r="W319" s="9">
        <v>0</v>
      </c>
      <c r="X319" s="9">
        <f>V319-W319</f>
        <v>0</v>
      </c>
    </row>
    <row r="320">
      <c r="A320" s="0" t="inlineStr">
        <is>
          <t xml:space="preserve">VG-020</t>
        </is>
      </c>
      <c r="B320" s="23">
        <v>14</v>
      </c>
      <c r="C320" s="9">
        <v>3364785696.9858384</v>
      </c>
      <c r="D320" s="9">
        <v>509357610.7411824</v>
      </c>
      <c r="E320" s="9">
        <v>1417598768.9393938</v>
      </c>
      <c r="F320" s="9">
        <v>1437829317.3052623</v>
      </c>
      <c r="G320" s="9">
        <v>0</v>
      </c>
      <c r="H320" s="9">
        <v>0</v>
      </c>
      <c r="I320" s="9">
        <v>287565863.4610525</v>
      </c>
      <c r="J320" s="9">
        <v>276557728.51938397</v>
      </c>
      <c r="K320" s="9">
        <v>1362217.778169036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v>0</v>
      </c>
      <c r="R320" s="9">
        <v>0</v>
      </c>
      <c r="S320" s="9">
        <v>0</v>
      </c>
      <c r="T320" s="0" t="inlineStr">
        <is>
          <t xml:space="preserve">ZERO_RESIDUAL_NO_SALE</t>
        </is>
      </c>
      <c r="U320" s="9">
        <f>C320-D320-I320-K320-Q320+S320</f>
        <v>2566500005.0054345</v>
      </c>
      <c r="V320" s="9">
        <v>0</v>
      </c>
      <c r="W320" s="9">
        <v>0</v>
      </c>
      <c r="X320" s="9">
        <f>V320-W320</f>
        <v>0</v>
      </c>
    </row>
    <row r="321">
      <c r="A321" s="0" t="inlineStr">
        <is>
          <t xml:space="preserve">VG-020</t>
        </is>
      </c>
      <c r="B321" s="23">
        <v>15</v>
      </c>
      <c r="C321" s="9">
        <v>3381441386.1859193</v>
      </c>
      <c r="D321" s="9">
        <v>519544762.956006</v>
      </c>
      <c r="E321" s="9">
        <v>1417598768.9393938</v>
      </c>
      <c r="F321" s="9">
        <v>1444297854.2905195</v>
      </c>
      <c r="G321" s="9">
        <v>0</v>
      </c>
      <c r="H321" s="9">
        <v>0</v>
      </c>
      <c r="I321" s="9">
        <v>288859570.85810393</v>
      </c>
      <c r="J321" s="9">
        <v>0</v>
      </c>
      <c r="K321" s="9">
        <v>-276557728.51938397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0</v>
      </c>
      <c r="S321" s="9">
        <v>276557728.51938397</v>
      </c>
      <c r="T321" s="0" t="inlineStr">
        <is>
          <t xml:space="preserve">ZERO_RESIDUAL_NO_SALE</t>
        </is>
      </c>
      <c r="U321" s="9">
        <f>C321-D321-I321-K321-Q321+S321</f>
        <v>2849594780.8911934</v>
      </c>
      <c r="V321" s="9">
        <v>0</v>
      </c>
      <c r="W321" s="9">
        <v>0</v>
      </c>
      <c r="X321" s="9">
        <f>V321-W321</f>
        <v>0</v>
      </c>
    </row>
  </sheetData>
  <autoFilter ref="A1:X321"/>
  <pageMargins left="0.35" right="0.35" top="0.5" bottom="0.5" header="0.2" footer="0.2"/>
</worksheet>
</file>

<file path=xl/worksheets/sheet11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7.10" customWidth="1"/>
    <col min="3" max="3" width="20.70" customWidth="1"/>
    <col min="4" max="4" width="16.20" customWidth="1"/>
    <col min="5" max="5" width="16.20" customWidth="1"/>
    <col min="6" max="6" width="18.90" customWidth="1"/>
    <col min="7" max="7" width="23.40" customWidth="1"/>
    <col min="8" max="8" width="22.50" customWidth="1"/>
  </cols>
  <sheetData>
    <row r="1" ht="30" customHeight="1">
      <c r="A1" s="4" t="inlineStr">
        <is>
          <t xml:space="preserve">year</t>
        </is>
      </c>
      <c r="B1" s="4" t="inlineStr">
        <is>
          <t xml:space="preserve">portfolio_cfads_vnd</t>
        </is>
      </c>
      <c r="C1" s="4" t="inlineStr">
        <is>
          <t xml:space="preserve">pooled_debt_service_vnd</t>
        </is>
      </c>
      <c r="D1" s="4" t="inlineStr">
        <is>
          <t xml:space="preserve">portfolio_dscr</t>
        </is>
      </c>
      <c r="E1" s="4" t="inlineStr">
        <is>
          <t xml:space="preserve">terminal_value_vnd</t>
        </is>
      </c>
      <c r="F1" s="4" t="inlineStr">
        <is>
          <t xml:space="preserve">terminal_branch</t>
        </is>
      </c>
      <c r="G1" s="4" t="inlineStr">
        <is>
          <t xml:space="preserve">pooled_feedback_iterations</t>
        </is>
      </c>
      <c r="H1" s="4" t="inlineStr">
        <is>
          <t xml:space="preserve">pooled_feedback_converged</t>
        </is>
      </c>
    </row>
    <row r="2">
      <c r="A2" s="23">
        <v>1</v>
      </c>
      <c r="B2" s="9">
        <v>28464870527.74623</v>
      </c>
      <c r="C2" s="9">
        <v>21896054252.112484</v>
      </c>
      <c r="D2" s="13">
        <f>IF(C2=0,"",B2/C2)</f>
        <v>1.3</v>
      </c>
      <c r="E2" s="9">
        <v>0</v>
      </c>
      <c r="F2" s="0" t="inlineStr">
        <is>
          <t xml:space="preserve">ZERO_RESIDUAL_NO_SALE</t>
        </is>
      </c>
      <c r="G2" s="23">
        <v>2</v>
      </c>
      <c r="H2" s="0" t="b">
        <v>1</v>
      </c>
    </row>
    <row r="3">
      <c r="A3" s="23">
        <v>2</v>
      </c>
      <c r="B3" s="9">
        <v>31833423867.19505</v>
      </c>
      <c r="C3" s="9">
        <v>24487249128.611576</v>
      </c>
      <c r="D3" s="13">
        <f>IF(C3=0,"",B3/C3)</f>
        <v>1.3</v>
      </c>
      <c r="E3" s="9">
        <v>0</v>
      </c>
      <c r="F3" s="0" t="inlineStr">
        <is>
          <t xml:space="preserve">ZERO_RESIDUAL_NO_SALE</t>
        </is>
      </c>
      <c r="G3" s="23">
        <v>2</v>
      </c>
      <c r="H3" s="0" t="b">
        <v>1</v>
      </c>
    </row>
    <row r="4">
      <c r="A4" s="23">
        <v>3</v>
      </c>
      <c r="B4" s="9">
        <v>31913160515.400166</v>
      </c>
      <c r="C4" s="9">
        <v>24548585011.84628</v>
      </c>
      <c r="D4" s="13">
        <f>IF(C4=0,"",B4/C4)</f>
        <v>1.3</v>
      </c>
      <c r="E4" s="9">
        <v>0</v>
      </c>
      <c r="F4" s="0" t="inlineStr">
        <is>
          <t xml:space="preserve">ZERO_RESIDUAL_NO_SALE</t>
        </is>
      </c>
      <c r="G4" s="23">
        <v>2</v>
      </c>
      <c r="H4" s="0" t="b">
        <v>1</v>
      </c>
    </row>
    <row r="5">
      <c r="A5" s="23">
        <v>4</v>
      </c>
      <c r="B5" s="9">
        <v>31992085271.4139</v>
      </c>
      <c r="C5" s="9">
        <v>24609296362.626076</v>
      </c>
      <c r="D5" s="13">
        <f>IF(C5=0,"",B5/C5)</f>
        <v>1.3</v>
      </c>
      <c r="E5" s="9">
        <v>0</v>
      </c>
      <c r="F5" s="0" t="inlineStr">
        <is>
          <t xml:space="preserve">ZERO_RESIDUAL_NO_SALE</t>
        </is>
      </c>
      <c r="G5" s="23">
        <v>2</v>
      </c>
      <c r="H5" s="0" t="b">
        <v>1</v>
      </c>
    </row>
    <row r="6">
      <c r="A6" s="23">
        <v>5</v>
      </c>
      <c r="B6" s="9">
        <v>30743702565.090317</v>
      </c>
      <c r="C6" s="9">
        <v>23649001973.146397</v>
      </c>
      <c r="D6" s="13">
        <f>IF(C6=0,"",B6/C6)</f>
        <v>1.3</v>
      </c>
      <c r="E6" s="9">
        <v>0</v>
      </c>
      <c r="F6" s="0" t="inlineStr">
        <is>
          <t xml:space="preserve">ZERO_RESIDUAL_NO_SALE</t>
        </is>
      </c>
      <c r="G6" s="23">
        <v>2</v>
      </c>
      <c r="H6" s="0" t="b">
        <v>1</v>
      </c>
    </row>
    <row r="7">
      <c r="A7" s="23">
        <v>6</v>
      </c>
      <c r="B7" s="9">
        <v>32147385882.332714</v>
      </c>
      <c r="C7" s="9">
        <v>24728758371.025166</v>
      </c>
      <c r="D7" s="13">
        <f>IF(C7=0,"",B7/C7)</f>
        <v>1.3</v>
      </c>
      <c r="E7" s="9">
        <v>0</v>
      </c>
      <c r="F7" s="0" t="inlineStr">
        <is>
          <t xml:space="preserve">ZERO_RESIDUAL_NO_SALE</t>
        </is>
      </c>
      <c r="G7" s="23">
        <v>2</v>
      </c>
      <c r="H7" s="0" t="b">
        <v>1</v>
      </c>
    </row>
    <row r="8">
      <c r="A8" s="23">
        <v>7</v>
      </c>
      <c r="B8" s="9">
        <v>32223703557.286297</v>
      </c>
      <c r="C8" s="9">
        <v>24787464274.835613</v>
      </c>
      <c r="D8" s="13">
        <f>IF(C8=0,"",B8/C8)</f>
        <v>1.3</v>
      </c>
      <c r="E8" s="9">
        <v>0</v>
      </c>
      <c r="F8" s="0" t="inlineStr">
        <is>
          <t xml:space="preserve">ZERO_RESIDUAL_NO_SALE</t>
        </is>
      </c>
      <c r="G8" s="23">
        <v>2</v>
      </c>
      <c r="H8" s="0" t="b">
        <v>1</v>
      </c>
    </row>
    <row r="9">
      <c r="A9" s="23">
        <v>8</v>
      </c>
      <c r="B9" s="9">
        <v>32299092954.42636</v>
      </c>
      <c r="C9" s="9">
        <v>24845456118.78951</v>
      </c>
      <c r="D9" s="13">
        <f>IF(C9=0,"",B9/C9)</f>
        <v>1.3</v>
      </c>
      <c r="E9" s="9">
        <v>0</v>
      </c>
      <c r="F9" s="0" t="inlineStr">
        <is>
          <t xml:space="preserve">ZERO_RESIDUAL_NO_SALE</t>
        </is>
      </c>
      <c r="G9" s="23">
        <v>2</v>
      </c>
      <c r="H9" s="0" t="b">
        <v>1</v>
      </c>
    </row>
    <row r="10">
      <c r="A10" s="23">
        <v>9</v>
      </c>
      <c r="B10" s="9">
        <v>32373523357.771652</v>
      </c>
      <c r="C10" s="9">
        <v>24902710275.20896</v>
      </c>
      <c r="D10" s="13">
        <f>IF(C10=0,"",B10/C10)</f>
        <v>1.3</v>
      </c>
      <c r="E10" s="9">
        <v>0</v>
      </c>
      <c r="F10" s="0" t="inlineStr">
        <is>
          <t xml:space="preserve">ZERO_RESIDUAL_NO_SALE</t>
        </is>
      </c>
      <c r="G10" s="23">
        <v>2</v>
      </c>
      <c r="H10" s="0" t="b">
        <v>1</v>
      </c>
    </row>
    <row r="11">
      <c r="A11" s="23">
        <v>10</v>
      </c>
      <c r="B11" s="9">
        <v>31120495957.369095</v>
      </c>
      <c r="C11" s="9">
        <v>10681044203.915466</v>
      </c>
      <c r="D11" s="13">
        <f>IF(C11=0,"",B11/C11)</f>
        <v>2.9136192457625927</v>
      </c>
      <c r="E11" s="9">
        <v>0</v>
      </c>
      <c r="F11" s="0" t="inlineStr">
        <is>
          <t xml:space="preserve">ZERO_RESIDUAL_NO_SALE</t>
        </is>
      </c>
      <c r="G11" s="23">
        <v>2</v>
      </c>
      <c r="H11" s="0" t="b">
        <v>1</v>
      </c>
    </row>
    <row r="12">
      <c r="A12" s="23">
        <v>11</v>
      </c>
      <c r="B12" s="9">
        <v>32519380933.04469</v>
      </c>
      <c r="C12" s="9">
        <v>0</v>
      </c>
      <c r="D12" s="13">
        <f>IF(C12=0,"",B12/C12)</f>
      </c>
      <c r="E12" s="9">
        <v>0</v>
      </c>
      <c r="F12" s="0" t="inlineStr">
        <is>
          <t xml:space="preserve">ZERO_RESIDUAL_NO_SALE</t>
        </is>
      </c>
      <c r="G12" s="23">
        <v>2</v>
      </c>
      <c r="H12" s="0" t="b">
        <v>1</v>
      </c>
    </row>
    <row r="13">
      <c r="A13" s="23">
        <v>12</v>
      </c>
      <c r="B13" s="9">
        <v>32590743245.26354</v>
      </c>
      <c r="C13" s="9">
        <v>0</v>
      </c>
      <c r="D13" s="13">
        <f>IF(C13=0,"",B13/C13)</f>
      </c>
      <c r="E13" s="9">
        <v>0</v>
      </c>
      <c r="F13" s="0" t="inlineStr">
        <is>
          <t xml:space="preserve">ZERO_RESIDUAL_NO_SALE</t>
        </is>
      </c>
      <c r="G13" s="23">
        <v>2</v>
      </c>
      <c r="H13" s="0" t="b">
        <v>1</v>
      </c>
    </row>
    <row r="14">
      <c r="A14" s="23">
        <v>13</v>
      </c>
      <c r="B14" s="9">
        <v>32661016815.85863</v>
      </c>
      <c r="C14" s="9">
        <v>0</v>
      </c>
      <c r="D14" s="13">
        <f>IF(C14=0,"",B14/C14)</f>
      </c>
      <c r="E14" s="9">
        <v>0</v>
      </c>
      <c r="F14" s="0" t="inlineStr">
        <is>
          <t xml:space="preserve">ZERO_RESIDUAL_NO_SALE</t>
        </is>
      </c>
      <c r="G14" s="23">
        <v>2</v>
      </c>
      <c r="H14" s="0" t="b">
        <v>1</v>
      </c>
    </row>
    <row r="15">
      <c r="A15" s="23">
        <v>14</v>
      </c>
      <c r="B15" s="9">
        <v>32730167415.857544</v>
      </c>
      <c r="C15" s="9">
        <v>0</v>
      </c>
      <c r="D15" s="13">
        <f>IF(C15=0,"",B15/C15)</f>
      </c>
      <c r="E15" s="9">
        <v>0</v>
      </c>
      <c r="F15" s="0" t="inlineStr">
        <is>
          <t xml:space="preserve">ZERO_RESIDUAL_NO_SALE</t>
        </is>
      </c>
      <c r="G15" s="23">
        <v>2</v>
      </c>
      <c r="H15" s="0" t="b">
        <v>1</v>
      </c>
    </row>
    <row r="16">
      <c r="A16" s="23">
        <v>15</v>
      </c>
      <c r="B16" s="9">
        <v>36338972314.52025</v>
      </c>
      <c r="C16" s="9">
        <v>0</v>
      </c>
      <c r="D16" s="13">
        <f>IF(C16=0,"",B16/C16)</f>
      </c>
      <c r="E16" s="9">
        <v>0</v>
      </c>
      <c r="F16" s="0" t="inlineStr">
        <is>
          <t xml:space="preserve">ZERO_RESIDUAL_NO_SALE</t>
        </is>
      </c>
      <c r="G16" s="23">
        <v>2</v>
      </c>
      <c r="H16" s="0" t="b">
        <v>1</v>
      </c>
    </row>
  </sheetData>
  <autoFilter ref="A1:H16"/>
  <pageMargins left="0.35" right="0.35" top="0.5" bottom="0.5" header="0.2" footer="0.2"/>
</worksheet>
</file>

<file path=xl/worksheets/sheet12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20.70" customWidth="1"/>
    <col min="3" max="3" width="10.00" customWidth="1"/>
    <col min="4" max="4" width="18.00" customWidth="1"/>
    <col min="5" max="5" width="12.60" customWidth="1"/>
    <col min="6" max="6" width="10.00" customWidth="1"/>
    <col min="7" max="7" width="10.00" customWidth="1"/>
    <col min="8" max="8" width="10.00" customWidth="1"/>
    <col min="9" max="9" width="12.60" customWidth="1"/>
    <col min="10" max="10" width="18.90" customWidth="1"/>
    <col min="11" max="11" width="10.00" customWidth="1"/>
    <col min="12" max="12" width="10.00" customWidth="1"/>
    <col min="13" max="13" width="10.80" customWidth="1"/>
    <col min="14" max="14" width="14.40" customWidth="1"/>
    <col min="15" max="15" width="10.00" customWidth="1"/>
    <col min="16" max="16" width="17.10" customWidth="1"/>
  </cols>
  <sheetData>
    <row r="1" ht="30" customHeight="1">
      <c r="A1" s="4" t="inlineStr">
        <is>
          <t xml:space="preserve">facility_id</t>
        </is>
      </c>
      <c r="B1" s="4" t="inlineStr">
        <is>
          <t xml:space="preserve">project_or_portfolio_id</t>
        </is>
      </c>
      <c r="C1" s="4" t="inlineStr">
        <is>
          <t xml:space="preserve">currency</t>
        </is>
      </c>
      <c r="D1" s="4" t="inlineStr">
        <is>
          <t xml:space="preserve">construction_or_term</t>
        </is>
      </c>
      <c r="E1" s="4" t="inlineStr">
        <is>
          <t xml:space="preserve">reference_rate</t>
        </is>
      </c>
      <c r="F1" s="4" t="inlineStr">
        <is>
          <t xml:space="preserve">spread_bps</t>
        </is>
      </c>
      <c r="G1" s="4" t="inlineStr">
        <is>
          <t xml:space="preserve">all_in_rate</t>
        </is>
      </c>
      <c r="H1" s="4" t="inlineStr">
        <is>
          <t xml:space="preserve">sizing_dscr</t>
        </is>
      </c>
      <c r="I1" s="4" t="inlineStr">
        <is>
          <t xml:space="preserve">sculpting_dscr</t>
        </is>
      </c>
      <c r="J1" s="4" t="inlineStr">
        <is>
          <t xml:space="preserve">minimum_covenant_dscr</t>
        </is>
      </c>
      <c r="K1" s="4" t="inlineStr">
        <is>
          <t xml:space="preserve">lockup_dscr</t>
        </is>
      </c>
      <c r="L1" s="4" t="inlineStr">
        <is>
          <t xml:space="preserve">llcr_floor</t>
        </is>
      </c>
      <c r="M1" s="4" t="inlineStr">
        <is>
          <t xml:space="preserve">leverage_cap</t>
        </is>
      </c>
      <c r="N1" s="4" t="inlineStr">
        <is>
          <t xml:space="preserve">debt_tenor_years</t>
        </is>
      </c>
      <c r="O1" s="4" t="inlineStr">
        <is>
          <t xml:space="preserve">dsra_months</t>
        </is>
      </c>
      <c r="P1" s="4" t="inlineStr">
        <is>
          <t xml:space="preserve">simulated_term_flag</t>
        </is>
      </c>
    </row>
    <row r="2">
      <c r="A2" s="5" t="inlineStr">
        <is>
          <t xml:space="preserve">FAC-VG-001</t>
        </is>
      </c>
      <c r="B2" s="5" t="inlineStr">
        <is>
          <t xml:space="preserve">VG-001</t>
        </is>
      </c>
      <c r="C2" s="5" t="inlineStr">
        <is>
          <t xml:space="preserve">VND</t>
        </is>
      </c>
      <c r="D2" s="5" t="inlineStr">
        <is>
          <t xml:space="preserve">term</t>
        </is>
      </c>
      <c r="E2" s="21">
        <v>0.05</v>
      </c>
      <c r="F2" s="5">
        <v>350</v>
      </c>
      <c r="G2" s="11">
        <f>E2+F2/10000</f>
        <v>0.085</v>
      </c>
      <c r="H2" s="22">
        <v>1.3</v>
      </c>
      <c r="I2" s="22">
        <v>1.3</v>
      </c>
      <c r="J2" s="22">
        <v>1.2</v>
      </c>
      <c r="K2" s="22">
        <v>1.25</v>
      </c>
      <c r="L2" s="22">
        <v>1.35</v>
      </c>
      <c r="M2" s="21">
        <v>0.65</v>
      </c>
      <c r="N2" s="24">
        <v>10</v>
      </c>
      <c r="O2" s="24">
        <v>6</v>
      </c>
      <c r="P2" s="5" t="b">
        <v>1</v>
      </c>
    </row>
    <row r="3">
      <c r="A3" s="5" t="inlineStr">
        <is>
          <t xml:space="preserve">FAC-VG-002</t>
        </is>
      </c>
      <c r="B3" s="5" t="inlineStr">
        <is>
          <t xml:space="preserve">VG-002</t>
        </is>
      </c>
      <c r="C3" s="5" t="inlineStr">
        <is>
          <t xml:space="preserve">VND</t>
        </is>
      </c>
      <c r="D3" s="5" t="inlineStr">
        <is>
          <t xml:space="preserve">term</t>
        </is>
      </c>
      <c r="E3" s="21">
        <v>0.05</v>
      </c>
      <c r="F3" s="5">
        <v>350</v>
      </c>
      <c r="G3" s="11">
        <f>E3+F3/10000</f>
        <v>0.085</v>
      </c>
      <c r="H3" s="22">
        <v>1.3</v>
      </c>
      <c r="I3" s="22">
        <v>1.3</v>
      </c>
      <c r="J3" s="22">
        <v>1.2</v>
      </c>
      <c r="K3" s="22">
        <v>1.25</v>
      </c>
      <c r="L3" s="22">
        <v>1.35</v>
      </c>
      <c r="M3" s="21">
        <v>0.65</v>
      </c>
      <c r="N3" s="24">
        <v>10</v>
      </c>
      <c r="O3" s="24">
        <v>6</v>
      </c>
      <c r="P3" s="5" t="b">
        <v>1</v>
      </c>
    </row>
    <row r="4">
      <c r="A4" s="5" t="inlineStr">
        <is>
          <t xml:space="preserve">FAC-VG-003</t>
        </is>
      </c>
      <c r="B4" s="5" t="inlineStr">
        <is>
          <t xml:space="preserve">VG-003</t>
        </is>
      </c>
      <c r="C4" s="5" t="inlineStr">
        <is>
          <t xml:space="preserve">VND</t>
        </is>
      </c>
      <c r="D4" s="5" t="inlineStr">
        <is>
          <t xml:space="preserve">term</t>
        </is>
      </c>
      <c r="E4" s="21">
        <v>0.05</v>
      </c>
      <c r="F4" s="5">
        <v>350</v>
      </c>
      <c r="G4" s="11">
        <f>E4+F4/10000</f>
        <v>0.085</v>
      </c>
      <c r="H4" s="22">
        <v>1.3</v>
      </c>
      <c r="I4" s="22">
        <v>1.3</v>
      </c>
      <c r="J4" s="22">
        <v>1.2</v>
      </c>
      <c r="K4" s="22">
        <v>1.25</v>
      </c>
      <c r="L4" s="22">
        <v>1.35</v>
      </c>
      <c r="M4" s="21">
        <v>0.65</v>
      </c>
      <c r="N4" s="24">
        <v>10</v>
      </c>
      <c r="O4" s="24">
        <v>6</v>
      </c>
      <c r="P4" s="5" t="b">
        <v>1</v>
      </c>
    </row>
    <row r="5">
      <c r="A5" s="5" t="inlineStr">
        <is>
          <t xml:space="preserve">FAC-VG-004</t>
        </is>
      </c>
      <c r="B5" s="5" t="inlineStr">
        <is>
          <t xml:space="preserve">VG-004</t>
        </is>
      </c>
      <c r="C5" s="5" t="inlineStr">
        <is>
          <t xml:space="preserve">VND</t>
        </is>
      </c>
      <c r="D5" s="5" t="inlineStr">
        <is>
          <t xml:space="preserve">term</t>
        </is>
      </c>
      <c r="E5" s="21">
        <v>0.05</v>
      </c>
      <c r="F5" s="5">
        <v>350</v>
      </c>
      <c r="G5" s="11">
        <f>E5+F5/10000</f>
        <v>0.085</v>
      </c>
      <c r="H5" s="22">
        <v>1.3</v>
      </c>
      <c r="I5" s="22">
        <v>1.3</v>
      </c>
      <c r="J5" s="22">
        <v>1.2</v>
      </c>
      <c r="K5" s="22">
        <v>1.25</v>
      </c>
      <c r="L5" s="22">
        <v>1.35</v>
      </c>
      <c r="M5" s="21">
        <v>0.65</v>
      </c>
      <c r="N5" s="24">
        <v>10</v>
      </c>
      <c r="O5" s="24">
        <v>6</v>
      </c>
      <c r="P5" s="5" t="b">
        <v>1</v>
      </c>
    </row>
    <row r="6">
      <c r="A6" s="5" t="inlineStr">
        <is>
          <t xml:space="preserve">FAC-VG-005</t>
        </is>
      </c>
      <c r="B6" s="5" t="inlineStr">
        <is>
          <t xml:space="preserve">VG-005</t>
        </is>
      </c>
      <c r="C6" s="5" t="inlineStr">
        <is>
          <t xml:space="preserve">VND</t>
        </is>
      </c>
      <c r="D6" s="5" t="inlineStr">
        <is>
          <t xml:space="preserve">term</t>
        </is>
      </c>
      <c r="E6" s="21">
        <v>0.05</v>
      </c>
      <c r="F6" s="5">
        <v>350</v>
      </c>
      <c r="G6" s="11">
        <f>E6+F6/10000</f>
        <v>0.085</v>
      </c>
      <c r="H6" s="22">
        <v>1.3</v>
      </c>
      <c r="I6" s="22">
        <v>1.3</v>
      </c>
      <c r="J6" s="22">
        <v>1.2</v>
      </c>
      <c r="K6" s="22">
        <v>1.25</v>
      </c>
      <c r="L6" s="22">
        <v>1.35</v>
      </c>
      <c r="M6" s="21">
        <v>0.65</v>
      </c>
      <c r="N6" s="24">
        <v>10</v>
      </c>
      <c r="O6" s="24">
        <v>6</v>
      </c>
      <c r="P6" s="5" t="b">
        <v>1</v>
      </c>
    </row>
    <row r="7">
      <c r="A7" s="5" t="inlineStr">
        <is>
          <t xml:space="preserve">FAC-VG-006</t>
        </is>
      </c>
      <c r="B7" s="5" t="inlineStr">
        <is>
          <t xml:space="preserve">VG-006</t>
        </is>
      </c>
      <c r="C7" s="5" t="inlineStr">
        <is>
          <t xml:space="preserve">VND</t>
        </is>
      </c>
      <c r="D7" s="5" t="inlineStr">
        <is>
          <t xml:space="preserve">term</t>
        </is>
      </c>
      <c r="E7" s="21">
        <v>0.05</v>
      </c>
      <c r="F7" s="5">
        <v>350</v>
      </c>
      <c r="G7" s="11">
        <f>E7+F7/10000</f>
        <v>0.085</v>
      </c>
      <c r="H7" s="22">
        <v>1.3</v>
      </c>
      <c r="I7" s="22">
        <v>1.3</v>
      </c>
      <c r="J7" s="22">
        <v>1.2</v>
      </c>
      <c r="K7" s="22">
        <v>1.25</v>
      </c>
      <c r="L7" s="22">
        <v>1.35</v>
      </c>
      <c r="M7" s="21">
        <v>0.65</v>
      </c>
      <c r="N7" s="24">
        <v>10</v>
      </c>
      <c r="O7" s="24">
        <v>6</v>
      </c>
      <c r="P7" s="5" t="b">
        <v>1</v>
      </c>
    </row>
    <row r="8">
      <c r="A8" s="5" t="inlineStr">
        <is>
          <t xml:space="preserve">FAC-VG-007</t>
        </is>
      </c>
      <c r="B8" s="5" t="inlineStr">
        <is>
          <t xml:space="preserve">VG-007</t>
        </is>
      </c>
      <c r="C8" s="5" t="inlineStr">
        <is>
          <t xml:space="preserve">VND</t>
        </is>
      </c>
      <c r="D8" s="5" t="inlineStr">
        <is>
          <t xml:space="preserve">term</t>
        </is>
      </c>
      <c r="E8" s="21">
        <v>0.05</v>
      </c>
      <c r="F8" s="5">
        <v>350</v>
      </c>
      <c r="G8" s="11">
        <f>E8+F8/10000</f>
        <v>0.085</v>
      </c>
      <c r="H8" s="22">
        <v>1.3</v>
      </c>
      <c r="I8" s="22">
        <v>1.3</v>
      </c>
      <c r="J8" s="22">
        <v>1.2</v>
      </c>
      <c r="K8" s="22">
        <v>1.25</v>
      </c>
      <c r="L8" s="22">
        <v>1.35</v>
      </c>
      <c r="M8" s="21">
        <v>0.65</v>
      </c>
      <c r="N8" s="24">
        <v>10</v>
      </c>
      <c r="O8" s="24">
        <v>6</v>
      </c>
      <c r="P8" s="5" t="b">
        <v>1</v>
      </c>
    </row>
    <row r="9">
      <c r="A9" s="5" t="inlineStr">
        <is>
          <t xml:space="preserve">FAC-VG-008</t>
        </is>
      </c>
      <c r="B9" s="5" t="inlineStr">
        <is>
          <t xml:space="preserve">VG-008</t>
        </is>
      </c>
      <c r="C9" s="5" t="inlineStr">
        <is>
          <t xml:space="preserve">VND</t>
        </is>
      </c>
      <c r="D9" s="5" t="inlineStr">
        <is>
          <t xml:space="preserve">term</t>
        </is>
      </c>
      <c r="E9" s="21">
        <v>0.05</v>
      </c>
      <c r="F9" s="5">
        <v>350</v>
      </c>
      <c r="G9" s="11">
        <f>E9+F9/10000</f>
        <v>0.085</v>
      </c>
      <c r="H9" s="22">
        <v>1.3</v>
      </c>
      <c r="I9" s="22">
        <v>1.3</v>
      </c>
      <c r="J9" s="22">
        <v>1.2</v>
      </c>
      <c r="K9" s="22">
        <v>1.25</v>
      </c>
      <c r="L9" s="22">
        <v>1.35</v>
      </c>
      <c r="M9" s="21">
        <v>0.65</v>
      </c>
      <c r="N9" s="24">
        <v>10</v>
      </c>
      <c r="O9" s="24">
        <v>6</v>
      </c>
      <c r="P9" s="5" t="b">
        <v>1</v>
      </c>
    </row>
    <row r="10">
      <c r="A10" s="5" t="inlineStr">
        <is>
          <t xml:space="preserve">FAC-VG-009</t>
        </is>
      </c>
      <c r="B10" s="5" t="inlineStr">
        <is>
          <t xml:space="preserve">VG-009</t>
        </is>
      </c>
      <c r="C10" s="5" t="inlineStr">
        <is>
          <t xml:space="preserve">VND</t>
        </is>
      </c>
      <c r="D10" s="5" t="inlineStr">
        <is>
          <t xml:space="preserve">term</t>
        </is>
      </c>
      <c r="E10" s="21">
        <v>0.05</v>
      </c>
      <c r="F10" s="5">
        <v>350</v>
      </c>
      <c r="G10" s="11">
        <f>E10+F10/10000</f>
        <v>0.085</v>
      </c>
      <c r="H10" s="22">
        <v>1.3</v>
      </c>
      <c r="I10" s="22">
        <v>1.3</v>
      </c>
      <c r="J10" s="22">
        <v>1.2</v>
      </c>
      <c r="K10" s="22">
        <v>1.25</v>
      </c>
      <c r="L10" s="22">
        <v>1.35</v>
      </c>
      <c r="M10" s="21">
        <v>0.65</v>
      </c>
      <c r="N10" s="24">
        <v>10</v>
      </c>
      <c r="O10" s="24">
        <v>6</v>
      </c>
      <c r="P10" s="5" t="b">
        <v>1</v>
      </c>
    </row>
    <row r="11">
      <c r="A11" s="5" t="inlineStr">
        <is>
          <t xml:space="preserve">FAC-VG-010</t>
        </is>
      </c>
      <c r="B11" s="5" t="inlineStr">
        <is>
          <t xml:space="preserve">VG-010</t>
        </is>
      </c>
      <c r="C11" s="5" t="inlineStr">
        <is>
          <t xml:space="preserve">VND</t>
        </is>
      </c>
      <c r="D11" s="5" t="inlineStr">
        <is>
          <t xml:space="preserve">term</t>
        </is>
      </c>
      <c r="E11" s="21">
        <v>0.05</v>
      </c>
      <c r="F11" s="5">
        <v>350</v>
      </c>
      <c r="G11" s="11">
        <f>E11+F11/10000</f>
        <v>0.085</v>
      </c>
      <c r="H11" s="22">
        <v>1.3</v>
      </c>
      <c r="I11" s="22">
        <v>1.3</v>
      </c>
      <c r="J11" s="22">
        <v>1.2</v>
      </c>
      <c r="K11" s="22">
        <v>1.25</v>
      </c>
      <c r="L11" s="22">
        <v>1.35</v>
      </c>
      <c r="M11" s="21">
        <v>0.65</v>
      </c>
      <c r="N11" s="24">
        <v>10</v>
      </c>
      <c r="O11" s="24">
        <v>6</v>
      </c>
      <c r="P11" s="5" t="b">
        <v>1</v>
      </c>
    </row>
    <row r="12">
      <c r="A12" s="5" t="inlineStr">
        <is>
          <t xml:space="preserve">FAC-VG-011</t>
        </is>
      </c>
      <c r="B12" s="5" t="inlineStr">
        <is>
          <t xml:space="preserve">VG-011</t>
        </is>
      </c>
      <c r="C12" s="5" t="inlineStr">
        <is>
          <t xml:space="preserve">VND</t>
        </is>
      </c>
      <c r="D12" s="5" t="inlineStr">
        <is>
          <t xml:space="preserve">term</t>
        </is>
      </c>
      <c r="E12" s="21">
        <v>0.05</v>
      </c>
      <c r="F12" s="5">
        <v>350</v>
      </c>
      <c r="G12" s="11">
        <f>E12+F12/10000</f>
        <v>0.085</v>
      </c>
      <c r="H12" s="22">
        <v>1.3</v>
      </c>
      <c r="I12" s="22">
        <v>1.3</v>
      </c>
      <c r="J12" s="22">
        <v>1.2</v>
      </c>
      <c r="K12" s="22">
        <v>1.25</v>
      </c>
      <c r="L12" s="22">
        <v>1.35</v>
      </c>
      <c r="M12" s="21">
        <v>0.65</v>
      </c>
      <c r="N12" s="24">
        <v>10</v>
      </c>
      <c r="O12" s="24">
        <v>6</v>
      </c>
      <c r="P12" s="5" t="b">
        <v>1</v>
      </c>
    </row>
    <row r="13">
      <c r="A13" s="5" t="inlineStr">
        <is>
          <t xml:space="preserve">FAC-VG-012</t>
        </is>
      </c>
      <c r="B13" s="5" t="inlineStr">
        <is>
          <t xml:space="preserve">VG-012</t>
        </is>
      </c>
      <c r="C13" s="5" t="inlineStr">
        <is>
          <t xml:space="preserve">VND</t>
        </is>
      </c>
      <c r="D13" s="5" t="inlineStr">
        <is>
          <t xml:space="preserve">term</t>
        </is>
      </c>
      <c r="E13" s="21">
        <v>0.05</v>
      </c>
      <c r="F13" s="5">
        <v>350</v>
      </c>
      <c r="G13" s="11">
        <f>E13+F13/10000</f>
        <v>0.085</v>
      </c>
      <c r="H13" s="22">
        <v>1.3</v>
      </c>
      <c r="I13" s="22">
        <v>1.3</v>
      </c>
      <c r="J13" s="22">
        <v>1.2</v>
      </c>
      <c r="K13" s="22">
        <v>1.25</v>
      </c>
      <c r="L13" s="22">
        <v>1.35</v>
      </c>
      <c r="M13" s="21">
        <v>0.65</v>
      </c>
      <c r="N13" s="24">
        <v>10</v>
      </c>
      <c r="O13" s="24">
        <v>6</v>
      </c>
      <c r="P13" s="5" t="b">
        <v>1</v>
      </c>
    </row>
    <row r="14">
      <c r="A14" s="5" t="inlineStr">
        <is>
          <t xml:space="preserve">FAC-VG-013</t>
        </is>
      </c>
      <c r="B14" s="5" t="inlineStr">
        <is>
          <t xml:space="preserve">VG-013</t>
        </is>
      </c>
      <c r="C14" s="5" t="inlineStr">
        <is>
          <t xml:space="preserve">VND</t>
        </is>
      </c>
      <c r="D14" s="5" t="inlineStr">
        <is>
          <t xml:space="preserve">term</t>
        </is>
      </c>
      <c r="E14" s="21">
        <v>0.05</v>
      </c>
      <c r="F14" s="5">
        <v>350</v>
      </c>
      <c r="G14" s="11">
        <f>E14+F14/10000</f>
        <v>0.085</v>
      </c>
      <c r="H14" s="22">
        <v>1.3</v>
      </c>
      <c r="I14" s="22">
        <v>1.3</v>
      </c>
      <c r="J14" s="22">
        <v>1.2</v>
      </c>
      <c r="K14" s="22">
        <v>1.25</v>
      </c>
      <c r="L14" s="22">
        <v>1.35</v>
      </c>
      <c r="M14" s="21">
        <v>0.65</v>
      </c>
      <c r="N14" s="24">
        <v>10</v>
      </c>
      <c r="O14" s="24">
        <v>6</v>
      </c>
      <c r="P14" s="5" t="b">
        <v>1</v>
      </c>
    </row>
    <row r="15">
      <c r="A15" s="5" t="inlineStr">
        <is>
          <t xml:space="preserve">FAC-VG-014</t>
        </is>
      </c>
      <c r="B15" s="5" t="inlineStr">
        <is>
          <t xml:space="preserve">VG-014</t>
        </is>
      </c>
      <c r="C15" s="5" t="inlineStr">
        <is>
          <t xml:space="preserve">VND</t>
        </is>
      </c>
      <c r="D15" s="5" t="inlineStr">
        <is>
          <t xml:space="preserve">term</t>
        </is>
      </c>
      <c r="E15" s="21">
        <v>0.05</v>
      </c>
      <c r="F15" s="5">
        <v>350</v>
      </c>
      <c r="G15" s="11">
        <f>E15+F15/10000</f>
        <v>0.085</v>
      </c>
      <c r="H15" s="22">
        <v>1.3</v>
      </c>
      <c r="I15" s="22">
        <v>1.3</v>
      </c>
      <c r="J15" s="22">
        <v>1.2</v>
      </c>
      <c r="K15" s="22">
        <v>1.25</v>
      </c>
      <c r="L15" s="22">
        <v>1.35</v>
      </c>
      <c r="M15" s="21">
        <v>0.65</v>
      </c>
      <c r="N15" s="24">
        <v>10</v>
      </c>
      <c r="O15" s="24">
        <v>6</v>
      </c>
      <c r="P15" s="5" t="b">
        <v>1</v>
      </c>
    </row>
    <row r="16">
      <c r="A16" s="5" t="inlineStr">
        <is>
          <t xml:space="preserve">FAC-VG-015</t>
        </is>
      </c>
      <c r="B16" s="5" t="inlineStr">
        <is>
          <t xml:space="preserve">VG-015</t>
        </is>
      </c>
      <c r="C16" s="5" t="inlineStr">
        <is>
          <t xml:space="preserve">VND</t>
        </is>
      </c>
      <c r="D16" s="5" t="inlineStr">
        <is>
          <t xml:space="preserve">term</t>
        </is>
      </c>
      <c r="E16" s="21">
        <v>0.05</v>
      </c>
      <c r="F16" s="5">
        <v>350</v>
      </c>
      <c r="G16" s="11">
        <f>E16+F16/10000</f>
        <v>0.085</v>
      </c>
      <c r="H16" s="22">
        <v>1.3</v>
      </c>
      <c r="I16" s="22">
        <v>1.3</v>
      </c>
      <c r="J16" s="22">
        <v>1.2</v>
      </c>
      <c r="K16" s="22">
        <v>1.25</v>
      </c>
      <c r="L16" s="22">
        <v>1.35</v>
      </c>
      <c r="M16" s="21">
        <v>0.65</v>
      </c>
      <c r="N16" s="24">
        <v>10</v>
      </c>
      <c r="O16" s="24">
        <v>6</v>
      </c>
      <c r="P16" s="5" t="b">
        <v>1</v>
      </c>
    </row>
    <row r="17">
      <c r="A17" s="5" t="inlineStr">
        <is>
          <t xml:space="preserve">FAC-VG-016</t>
        </is>
      </c>
      <c r="B17" s="5" t="inlineStr">
        <is>
          <t xml:space="preserve">VG-016</t>
        </is>
      </c>
      <c r="C17" s="5" t="inlineStr">
        <is>
          <t xml:space="preserve">VND</t>
        </is>
      </c>
      <c r="D17" s="5" t="inlineStr">
        <is>
          <t xml:space="preserve">term</t>
        </is>
      </c>
      <c r="E17" s="21">
        <v>0.05</v>
      </c>
      <c r="F17" s="5">
        <v>350</v>
      </c>
      <c r="G17" s="11">
        <f>E17+F17/10000</f>
        <v>0.085</v>
      </c>
      <c r="H17" s="22">
        <v>1.3</v>
      </c>
      <c r="I17" s="22">
        <v>1.3</v>
      </c>
      <c r="J17" s="22">
        <v>1.2</v>
      </c>
      <c r="K17" s="22">
        <v>1.25</v>
      </c>
      <c r="L17" s="22">
        <v>1.35</v>
      </c>
      <c r="M17" s="21">
        <v>0.65</v>
      </c>
      <c r="N17" s="24">
        <v>10</v>
      </c>
      <c r="O17" s="24">
        <v>6</v>
      </c>
      <c r="P17" s="5" t="b">
        <v>1</v>
      </c>
    </row>
    <row r="18">
      <c r="A18" s="5" t="inlineStr">
        <is>
          <t xml:space="preserve">FAC-VG-017</t>
        </is>
      </c>
      <c r="B18" s="5" t="inlineStr">
        <is>
          <t xml:space="preserve">VG-017</t>
        </is>
      </c>
      <c r="C18" s="5" t="inlineStr">
        <is>
          <t xml:space="preserve">VND</t>
        </is>
      </c>
      <c r="D18" s="5" t="inlineStr">
        <is>
          <t xml:space="preserve">term</t>
        </is>
      </c>
      <c r="E18" s="21">
        <v>0.05</v>
      </c>
      <c r="F18" s="5">
        <v>350</v>
      </c>
      <c r="G18" s="11">
        <f>E18+F18/10000</f>
        <v>0.085</v>
      </c>
      <c r="H18" s="22">
        <v>1.3</v>
      </c>
      <c r="I18" s="22">
        <v>1.3</v>
      </c>
      <c r="J18" s="22">
        <v>1.2</v>
      </c>
      <c r="K18" s="22">
        <v>1.25</v>
      </c>
      <c r="L18" s="22">
        <v>1.35</v>
      </c>
      <c r="M18" s="21">
        <v>0.65</v>
      </c>
      <c r="N18" s="24">
        <v>10</v>
      </c>
      <c r="O18" s="24">
        <v>6</v>
      </c>
      <c r="P18" s="5" t="b">
        <v>1</v>
      </c>
    </row>
    <row r="19">
      <c r="A19" s="5" t="inlineStr">
        <is>
          <t xml:space="preserve">FAC-VG-018</t>
        </is>
      </c>
      <c r="B19" s="5" t="inlineStr">
        <is>
          <t xml:space="preserve">VG-018</t>
        </is>
      </c>
      <c r="C19" s="5" t="inlineStr">
        <is>
          <t xml:space="preserve">VND</t>
        </is>
      </c>
      <c r="D19" s="5" t="inlineStr">
        <is>
          <t xml:space="preserve">term</t>
        </is>
      </c>
      <c r="E19" s="21">
        <v>0.05</v>
      </c>
      <c r="F19" s="5">
        <v>350</v>
      </c>
      <c r="G19" s="11">
        <f>E19+F19/10000</f>
        <v>0.085</v>
      </c>
      <c r="H19" s="22">
        <v>1.3</v>
      </c>
      <c r="I19" s="22">
        <v>1.3</v>
      </c>
      <c r="J19" s="22">
        <v>1.2</v>
      </c>
      <c r="K19" s="22">
        <v>1.25</v>
      </c>
      <c r="L19" s="22">
        <v>1.35</v>
      </c>
      <c r="M19" s="21">
        <v>0.65</v>
      </c>
      <c r="N19" s="24">
        <v>10</v>
      </c>
      <c r="O19" s="24">
        <v>6</v>
      </c>
      <c r="P19" s="5" t="b">
        <v>1</v>
      </c>
    </row>
    <row r="20">
      <c r="A20" s="5" t="inlineStr">
        <is>
          <t xml:space="preserve">FAC-VG-019</t>
        </is>
      </c>
      <c r="B20" s="5" t="inlineStr">
        <is>
          <t xml:space="preserve">VG-019</t>
        </is>
      </c>
      <c r="C20" s="5" t="inlineStr">
        <is>
          <t xml:space="preserve">VND</t>
        </is>
      </c>
      <c r="D20" s="5" t="inlineStr">
        <is>
          <t xml:space="preserve">term</t>
        </is>
      </c>
      <c r="E20" s="21">
        <v>0.05</v>
      </c>
      <c r="F20" s="5">
        <v>350</v>
      </c>
      <c r="G20" s="11">
        <f>E20+F20/10000</f>
        <v>0.085</v>
      </c>
      <c r="H20" s="22">
        <v>1.3</v>
      </c>
      <c r="I20" s="22">
        <v>1.3</v>
      </c>
      <c r="J20" s="22">
        <v>1.2</v>
      </c>
      <c r="K20" s="22">
        <v>1.25</v>
      </c>
      <c r="L20" s="22">
        <v>1.35</v>
      </c>
      <c r="M20" s="21">
        <v>0.65</v>
      </c>
      <c r="N20" s="24">
        <v>10</v>
      </c>
      <c r="O20" s="24">
        <v>6</v>
      </c>
      <c r="P20" s="5" t="b">
        <v>1</v>
      </c>
    </row>
    <row r="21">
      <c r="A21" s="5" t="inlineStr">
        <is>
          <t xml:space="preserve">FAC-VG-020</t>
        </is>
      </c>
      <c r="B21" s="5" t="inlineStr">
        <is>
          <t xml:space="preserve">VG-020</t>
        </is>
      </c>
      <c r="C21" s="5" t="inlineStr">
        <is>
          <t xml:space="preserve">VND</t>
        </is>
      </c>
      <c r="D21" s="5" t="inlineStr">
        <is>
          <t xml:space="preserve">term</t>
        </is>
      </c>
      <c r="E21" s="21">
        <v>0.05</v>
      </c>
      <c r="F21" s="5">
        <v>350</v>
      </c>
      <c r="G21" s="11">
        <f>E21+F21/10000</f>
        <v>0.085</v>
      </c>
      <c r="H21" s="22">
        <v>1.3</v>
      </c>
      <c r="I21" s="22">
        <v>1.3</v>
      </c>
      <c r="J21" s="22">
        <v>1.2</v>
      </c>
      <c r="K21" s="22">
        <v>1.25</v>
      </c>
      <c r="L21" s="22">
        <v>1.35</v>
      </c>
      <c r="M21" s="21">
        <v>0.65</v>
      </c>
      <c r="N21" s="24">
        <v>10</v>
      </c>
      <c r="O21" s="24">
        <v>6</v>
      </c>
      <c r="P21" s="5" t="b">
        <v>1</v>
      </c>
    </row>
  </sheetData>
  <autoFilter ref="A1:P21"/>
  <pageMargins left="0.35" right="0.35" top="0.5" bottom="0.5" header="0.2" footer="0.2"/>
</worksheet>
</file>

<file path=xl/worksheets/sheet13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6" topLeftCell="A7" activePane="bottomLeft" state="frozen"/>
    </sheetView>
  </sheetViews>
  <sheetFormatPr defaultRowHeight="15"/>
  <cols>
    <col min="1" max="1" width="12.00" customWidth="1"/>
    <col min="2" max="2" width="20.00" customWidth="1"/>
    <col min="3" max="3" width="20.00" customWidth="1"/>
    <col min="4" max="4" width="16.00" customWidth="1"/>
    <col min="5" max="5" width="16.00" customWidth="1"/>
    <col min="6" max="6" width="18.00" customWidth="1"/>
    <col min="7" max="7" width="18.00" customWidth="1"/>
    <col min="8" max="8" width="18.00" customWidth="1"/>
    <col min="9" max="9" width="16.00" customWidth="1"/>
    <col min="10" max="10" width="16.00" customWidth="1"/>
  </cols>
  <sheetData>
    <row r="1" ht="24" customHeight="1">
      <c r="A1" s="1" t="inlineStr">
        <is>
          <t xml:space="preserve">DEBT SCULPTING — FORMULA-DRIVEN POOLED SCHEDULE</t>
        </is>
      </c>
    </row>
    <row r="2" ht="24" customHeight="1"/>
    <row r="3"/>
    <row r="4" ht="22" customHeight="1">
      <c r="A4" s="3" t="inlineStr">
        <is>
          <t xml:space="preserve">Debt Rate</t>
        </is>
      </c>
      <c r="B4" s="12">
        <f>'11_Debt_Terms'!G2</f>
        <v>0.085</v>
      </c>
      <c r="C4" s="3" t="inlineStr">
        <is>
          <t xml:space="preserve">Target DSCR</t>
        </is>
      </c>
      <c r="D4" s="14">
        <f>'11_Debt_Terms'!H2</f>
        <v>1.3</v>
      </c>
      <c r="E4" s="3" t="inlineStr">
        <is>
          <t xml:space="preserve">Opening Debt (VND bn)</t>
        </is>
      </c>
      <c r="F4" s="10">
        <f>SUM('18_Portfolio'!G2:G21)</f>
        <v>152.45700762551948</v>
      </c>
      <c r="G4" s="3" t="inlineStr">
        <is>
          <t xml:space="preserve">Debt Tenor</t>
        </is>
      </c>
      <c r="H4" s="8">
        <f>'11_Debt_Terms'!N2</f>
        <v>10</v>
      </c>
      <c r="I4" s="3" t="inlineStr">
        <is>
          <t xml:space="preserve">Model Mode</t>
        </is>
      </c>
      <c r="J4" s="6" t="inlineStr">
        <is>
          <t xml:space="preserve">Sculpt to target DSCR</t>
        </is>
      </c>
    </row>
    <row r="5"/>
    <row r="6" ht="22" customHeight="1">
      <c r="A6" s="4" t="inlineStr">
        <is>
          <t xml:space="preserve">Year</t>
        </is>
      </c>
      <c r="B6" s="4" t="inlineStr">
        <is>
          <t xml:space="preserve">CFADS (VND bn)</t>
        </is>
      </c>
      <c r="C6" s="4" t="inlineStr">
        <is>
          <t xml:space="preserve">Opening Debt</t>
        </is>
      </c>
      <c r="D6" s="4" t="inlineStr">
        <is>
          <t xml:space="preserve">Interest</t>
        </is>
      </c>
      <c r="E6" s="4" t="inlineStr">
        <is>
          <t xml:space="preserve">Target DSCR</t>
        </is>
      </c>
      <c r="F6" s="4" t="inlineStr">
        <is>
          <t xml:space="preserve">Debt Service</t>
        </is>
      </c>
      <c r="G6" s="4" t="inlineStr">
        <is>
          <t xml:space="preserve">Principal</t>
        </is>
      </c>
      <c r="H6" s="4" t="inlineStr">
        <is>
          <t xml:space="preserve">Closing Debt</t>
        </is>
      </c>
      <c r="I6" s="4" t="inlineStr">
        <is>
          <t xml:space="preserve">Actual DSCR</t>
        </is>
      </c>
      <c r="J6" s="4" t="inlineStr">
        <is>
          <t xml:space="preserve">Check</t>
        </is>
      </c>
    </row>
    <row r="7">
      <c r="A7" s="23">
        <v>1</v>
      </c>
      <c r="B7" s="10">
        <f>'10_Portfolio_CFADS'!B2/1000000000</f>
        <v>28.464870527746232</v>
      </c>
      <c r="C7" s="9">
        <f>$F$4</f>
        <v>152.4570076255195</v>
      </c>
      <c r="D7" s="9">
        <f>C7*$B$4</f>
        <v>12.95884564816916</v>
      </c>
      <c r="E7" s="13">
        <f>$D$4</f>
        <v>1.3</v>
      </c>
      <c r="F7" s="9">
        <f>MIN(B7/E7,C7+D7)</f>
        <v>21.896054252112485</v>
      </c>
      <c r="G7" s="9">
        <f>MAX(0,MIN(C7,F7-D7))</f>
        <v>8.937208603943326</v>
      </c>
      <c r="H7" s="9">
        <f>MAX(0,C7-G7)</f>
        <v>143.51979902157618</v>
      </c>
      <c r="I7" s="15">
        <f>IF(F7=0,"",B7/F7)</f>
        <v>1.3</v>
      </c>
      <c r="J7" s="15" t="str">
        <f>IF(ABS(C7-G7-H7)&lt;0.000001,"PASS","REVIEW")</f>
        <v>PASS</v>
      </c>
    </row>
    <row r="8">
      <c r="A8" s="23">
        <v>2</v>
      </c>
      <c r="B8" s="10">
        <f>'10_Portfolio_CFADS'!B3/1000000000</f>
        <v>31.83342386719505</v>
      </c>
      <c r="C8" s="9">
        <f>H7</f>
        <v>143.51979902157618</v>
      </c>
      <c r="D8" s="9">
        <f>C8*$B$4</f>
        <v>12.199182916833974</v>
      </c>
      <c r="E8" s="13">
        <f>$D$4</f>
        <v>1.3</v>
      </c>
      <c r="F8" s="9">
        <f>MIN(B8/E8,C8+D8)</f>
        <v>24.487249128611577</v>
      </c>
      <c r="G8" s="9">
        <f>MAX(0,MIN(C8,F8-D8))</f>
        <v>12.2880662117776</v>
      </c>
      <c r="H8" s="9">
        <f>MAX(0,C8-G8)</f>
        <v>131.23173280979856</v>
      </c>
      <c r="I8" s="15">
        <f>IF(F8=0,"",B8/F8)</f>
        <v>1.3</v>
      </c>
      <c r="J8" s="15" t="str">
        <f>IF(ABS(C8-G8-H8)&lt;0.000001,"PASS","REVIEW")</f>
        <v>PASS</v>
      </c>
    </row>
    <row r="9">
      <c r="A9" s="23">
        <v>3</v>
      </c>
      <c r="B9" s="10">
        <f>'10_Portfolio_CFADS'!B4/1000000000</f>
        <v>31.91316051540016</v>
      </c>
      <c r="C9" s="9">
        <f>H8</f>
        <v>131.23173280979856</v>
      </c>
      <c r="D9" s="9">
        <f>C9*$B$4</f>
        <v>11.15469728883288</v>
      </c>
      <c r="E9" s="13">
        <f>$D$4</f>
        <v>1.3</v>
      </c>
      <c r="F9" s="9">
        <f>MIN(B9/E9,C9+D9)</f>
        <v>24.548585011846278</v>
      </c>
      <c r="G9" s="9">
        <f>MAX(0,MIN(C9,F9-D9))</f>
        <v>13.3938877230134</v>
      </c>
      <c r="H9" s="9">
        <f>MAX(0,C9-G9)</f>
        <v>117.83784508678517</v>
      </c>
      <c r="I9" s="15">
        <f>IF(F9=0,"",B9/F9)</f>
        <v>1.3</v>
      </c>
      <c r="J9" s="15" t="str">
        <f>IF(ABS(C9-G9-H9)&lt;0.000001,"PASS","REVIEW")</f>
        <v>PASS</v>
      </c>
    </row>
    <row r="10">
      <c r="A10" s="23">
        <v>4</v>
      </c>
      <c r="B10" s="10">
        <f>'10_Portfolio_CFADS'!B5/1000000000</f>
        <v>31.9920852714139</v>
      </c>
      <c r="C10" s="9">
        <f>H9</f>
        <v>117.83784508678517</v>
      </c>
      <c r="D10" s="9">
        <f>C10*$B$4</f>
        <v>10.01621683237674</v>
      </c>
      <c r="E10" s="13">
        <f>$D$4</f>
        <v>1.3</v>
      </c>
      <c r="F10" s="9">
        <f>MIN(B10/E10,C10+D10)</f>
        <v>24.609296362626075</v>
      </c>
      <c r="G10" s="9">
        <f>MAX(0,MIN(C10,F10-D10))</f>
        <v>14.593079530249335</v>
      </c>
      <c r="H10" s="9">
        <f>MAX(0,C10-G10)</f>
        <v>103.24476555653582</v>
      </c>
      <c r="I10" s="15">
        <f>IF(F10=0,"",B10/F10)</f>
        <v>1.3</v>
      </c>
      <c r="J10" s="15" t="str">
        <f>IF(ABS(C10-G10-H10)&lt;0.000001,"PASS","REVIEW")</f>
        <v>PASS</v>
      </c>
    </row>
    <row r="11">
      <c r="A11" s="23">
        <v>5</v>
      </c>
      <c r="B11" s="10">
        <f>'10_Portfolio_CFADS'!B6/1000000000</f>
        <v>30.743702565090317</v>
      </c>
      <c r="C11" s="9">
        <f>H10</f>
        <v>103.24476555653582</v>
      </c>
      <c r="D11" s="9">
        <f>C11*$B$4</f>
        <v>8.775805072305547</v>
      </c>
      <c r="E11" s="13">
        <f>$D$4</f>
        <v>1.3</v>
      </c>
      <c r="F11" s="9">
        <f>MIN(B11/E11,C11+D11)</f>
        <v>23.649001973146397</v>
      </c>
      <c r="G11" s="9">
        <f>MAX(0,MIN(C11,F11-D11))</f>
        <v>14.87319690084085</v>
      </c>
      <c r="H11" s="9">
        <f>MAX(0,C11-G11)</f>
        <v>88.37156865569497</v>
      </c>
      <c r="I11" s="15">
        <f>IF(F11=0,"",B11/F11)</f>
        <v>1.3</v>
      </c>
      <c r="J11" s="15" t="str">
        <f>IF(ABS(C11-G11-H11)&lt;0.000001,"PASS","REVIEW")</f>
        <v>PASS</v>
      </c>
    </row>
    <row r="12">
      <c r="A12" s="23">
        <v>6</v>
      </c>
      <c r="B12" s="10">
        <f>'10_Portfolio_CFADS'!B7/1000000000</f>
        <v>32.14738588233271</v>
      </c>
      <c r="C12" s="9">
        <f>H11</f>
        <v>88.37156865569497</v>
      </c>
      <c r="D12" s="9">
        <f>C12*$B$4</f>
        <v>7.511583335734073</v>
      </c>
      <c r="E12" s="13">
        <f>$D$4</f>
        <v>1.3</v>
      </c>
      <c r="F12" s="9">
        <f>MIN(B12/E12,C12+D12)</f>
        <v>24.728758371025165</v>
      </c>
      <c r="G12" s="9">
        <f>MAX(0,MIN(C12,F12-D12))</f>
        <v>17.217175035291092</v>
      </c>
      <c r="H12" s="9">
        <f>MAX(0,C12-G12)</f>
        <v>71.15439362040388</v>
      </c>
      <c r="I12" s="15">
        <f>IF(F12=0,"",B12/F12)</f>
        <v>1.3</v>
      </c>
      <c r="J12" s="15" t="str">
        <f>IF(ABS(C12-G12-H12)&lt;0.000001,"PASS","REVIEW")</f>
        <v>PASS</v>
      </c>
    </row>
    <row r="13">
      <c r="A13" s="23">
        <v>7</v>
      </c>
      <c r="B13" s="10">
        <f>'10_Portfolio_CFADS'!B8/1000000000</f>
        <v>32.2237035572863</v>
      </c>
      <c r="C13" s="9">
        <f>H12</f>
        <v>71.15439362040388</v>
      </c>
      <c r="D13" s="9">
        <f>C13*$B$4</f>
        <v>6.04812345773433</v>
      </c>
      <c r="E13" s="13">
        <f>$D$4</f>
        <v>1.3</v>
      </c>
      <c r="F13" s="9">
        <f>MIN(B13/E13,C13+D13)</f>
        <v>24.787464274835614</v>
      </c>
      <c r="G13" s="9">
        <f>MAX(0,MIN(C13,F13-D13))</f>
        <v>18.739340817101283</v>
      </c>
      <c r="H13" s="9">
        <f>MAX(0,C13-G13)</f>
        <v>52.41505280330259</v>
      </c>
      <c r="I13" s="15">
        <f>IF(F13=0,"",B13/F13)</f>
        <v>1.3</v>
      </c>
      <c r="J13" s="15" t="str">
        <f>IF(ABS(C13-G13-H13)&lt;0.000001,"PASS","REVIEW")</f>
        <v>PASS</v>
      </c>
    </row>
    <row r="14">
      <c r="A14" s="23">
        <v>8</v>
      </c>
      <c r="B14" s="10">
        <f>'10_Portfolio_CFADS'!B9/1000000000</f>
        <v>32.299092954426364</v>
      </c>
      <c r="C14" s="9">
        <f>H13</f>
        <v>52.41505280330259</v>
      </c>
      <c r="D14" s="9">
        <f>C14*$B$4</f>
        <v>4.455279488280721</v>
      </c>
      <c r="E14" s="13">
        <f>$D$4</f>
        <v>1.3</v>
      </c>
      <c r="F14" s="9">
        <f>MIN(B14/E14,C14+D14)</f>
        <v>24.84545611878951</v>
      </c>
      <c r="G14" s="9">
        <f>MAX(0,MIN(C14,F14-D14))</f>
        <v>20.39017663050879</v>
      </c>
      <c r="H14" s="9">
        <f>MAX(0,C14-G14)</f>
        <v>32.02487617279381</v>
      </c>
      <c r="I14" s="15">
        <f>IF(F14=0,"",B14/F14)</f>
        <v>1.3</v>
      </c>
      <c r="J14" s="15" t="str">
        <f>IF(ABS(C14-G14-H14)&lt;0.000001,"PASS","REVIEW")</f>
        <v>PASS</v>
      </c>
    </row>
    <row r="15">
      <c r="A15" s="23">
        <v>9</v>
      </c>
      <c r="B15" s="10">
        <f>'10_Portfolio_CFADS'!B10/1000000000</f>
        <v>32.37352335777165</v>
      </c>
      <c r="C15" s="9">
        <f>H14</f>
        <v>32.02487617279381</v>
      </c>
      <c r="D15" s="9">
        <f>C15*$B$4</f>
        <v>2.7221144746874737</v>
      </c>
      <c r="E15" s="13">
        <f>$D$4</f>
        <v>1.3</v>
      </c>
      <c r="F15" s="9">
        <f>MIN(B15/E15,C15+D15)</f>
        <v>24.90271027520896</v>
      </c>
      <c r="G15" s="9">
        <f>MAX(0,MIN(C15,F15-D15))</f>
        <v>22.180595800521488</v>
      </c>
      <c r="H15" s="9">
        <f>MAX(0,C15-G15)</f>
        <v>9.84428037227232</v>
      </c>
      <c r="I15" s="15">
        <f>IF(F15=0,"",B15/F15)</f>
        <v>1.3</v>
      </c>
      <c r="J15" s="15" t="str">
        <f>IF(ABS(C15-G15-H15)&lt;0.000001,"PASS","REVIEW")</f>
        <v>PASS</v>
      </c>
    </row>
    <row r="16">
      <c r="A16" s="23">
        <v>10</v>
      </c>
      <c r="B16" s="10">
        <f>'10_Portfolio_CFADS'!B11/1000000000</f>
        <v>31.12049595736909</v>
      </c>
      <c r="C16" s="9">
        <f>H15</f>
        <v>9.84428037227232</v>
      </c>
      <c r="D16" s="9">
        <f>C16*$B$4</f>
        <v>0.8367638316431473</v>
      </c>
      <c r="E16" s="13">
        <f>$D$4</f>
        <v>1.3</v>
      </c>
      <c r="F16" s="9">
        <f>MIN(B16/E16,C16+D16)</f>
        <v>10.681044203915466</v>
      </c>
      <c r="G16" s="9">
        <f>MAX(0,MIN(C16,F16-D16))</f>
        <v>9.84428037227232</v>
      </c>
      <c r="H16" s="9">
        <f>MAX(0,C16-G16)</f>
        <v>0.0</v>
      </c>
      <c r="I16" s="15">
        <f>IF(F16=0,"",B16/F16)</f>
        <v>2.9136192457625927</v>
      </c>
      <c r="J16" s="15" t="str">
        <f>IF(ABS(C16-G16-H16)&lt;0.000001,"PASS","REVIEW")</f>
        <v>PASS</v>
      </c>
    </row>
    <row r="18"/>
    <row r="19" ht="20" customHeight="1">
      <c r="A19" s="2" t="inlineStr">
        <is>
          <t xml:space="preserve">KEY FORMULAS — click calculation cells to inspect formulas</t>
        </is>
      </c>
    </row>
    <row r="20" ht="27" customHeight="1">
      <c r="A20" s="0" t="inlineStr">
        <is>
          <t xml:space="preserve">Interest</t>
        </is>
      </c>
      <c r="B20" s="0" t="inlineStr">
        <is>
          <t xml:space="preserve">Opening Debt × Debt Rate</t>
        </is>
      </c>
      <c r="C20" s="18" t="inlineStr">
        <is>
          <t xml:space="preserve">=C7*$B$4</t>
        </is>
      </c>
    </row>
    <row r="21" ht="27" customHeight="1">
      <c r="A21" s="0" t="inlineStr">
        <is>
          <t xml:space="preserve">Target Debt Service</t>
        </is>
      </c>
      <c r="B21" s="0" t="inlineStr">
        <is>
          <t xml:space="preserve">CFADS ÷ Target DSCR, capped by payoff amount</t>
        </is>
      </c>
      <c r="C21" s="18" t="inlineStr">
        <is>
          <t xml:space="preserve">=MIN(B7/E7,C7+D7)</t>
        </is>
      </c>
    </row>
    <row r="22" ht="27" customHeight="1">
      <c r="A22" s="0" t="inlineStr">
        <is>
          <t xml:space="preserve">Principal</t>
        </is>
      </c>
      <c r="B22" s="0" t="inlineStr">
        <is>
          <t xml:space="preserve">Debt Service − Interest, floored at zero</t>
        </is>
      </c>
      <c r="C22" s="18" t="inlineStr">
        <is>
          <t xml:space="preserve">=MAX(0,MIN(C7,F7-D7))</t>
        </is>
      </c>
    </row>
    <row r="23" ht="27" customHeight="1">
      <c r="A23" s="0" t="inlineStr">
        <is>
          <t xml:space="preserve">Closing Debt</t>
        </is>
      </c>
      <c r="B23" s="0" t="inlineStr">
        <is>
          <t xml:space="preserve">Opening Debt − Principal</t>
        </is>
      </c>
      <c r="C23" s="18" t="inlineStr">
        <is>
          <t xml:space="preserve">=MAX(0,C7-G7)</t>
        </is>
      </c>
    </row>
    <row r="24" ht="27" customHeight="1">
      <c r="A24" s="0" t="inlineStr">
        <is>
          <t xml:space="preserve">Actual DSCR</t>
        </is>
      </c>
      <c r="B24" s="0" t="inlineStr">
        <is>
          <t xml:space="preserve">CFADS ÷ Debt Service</t>
        </is>
      </c>
      <c r="C24" s="18" t="inlineStr">
        <is>
          <t xml:space="preserve">=IF(F7=0,"",B7/F7)</t>
        </is>
      </c>
    </row>
    <row r="25" ht="27" customHeight="1">
      <c r="A25" s="0" t="inlineStr">
        <is>
          <t xml:space="preserve">Balance Check</t>
        </is>
      </c>
      <c r="B25" s="0" t="inlineStr">
        <is>
          <t xml:space="preserve">Opening − Principal − Closing = 0</t>
        </is>
      </c>
      <c r="C25" s="18" t="inlineStr">
        <is>
          <t xml:space="preserve">=IF(ABS(C7-G7-H7)&lt;0.000001,"PASS","REVIEW")</t>
        </is>
      </c>
    </row>
  </sheetData>
  <mergeCells count="2">
    <mergeCell ref="A1:J2"/>
    <mergeCell ref="A19:J19"/>
  </mergeCells>
  <pageMargins left="0.35" right="0.35" top="0.5" bottom="0.5" header="0.2" footer="0.2"/>
</worksheet>
</file>

<file path=xl/worksheets/sheet14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0.00" customWidth="1"/>
    <col min="3" max="3" width="16.20" customWidth="1"/>
    <col min="4" max="4" width="16.20" customWidth="1"/>
    <col min="5" max="5" width="16.20" customWidth="1"/>
    <col min="6" max="6" width="16.20" customWidth="1"/>
    <col min="7" max="7" width="11.70" customWidth="1"/>
    <col min="8" max="8" width="16.20" customWidth="1"/>
    <col min="9" max="9" width="16.20" customWidth="1"/>
    <col min="10" max="10" width="16.20" customWidth="1"/>
    <col min="11" max="11" width="16.20" customWidth="1"/>
    <col min="12" max="12" width="18.90" customWidth="1"/>
    <col min="13" max="13" width="14.4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year</t>
        </is>
      </c>
      <c r="C1" s="4" t="inlineStr">
        <is>
          <t xml:space="preserve">cfads_vnd</t>
        </is>
      </c>
      <c r="D1" s="4" t="inlineStr">
        <is>
          <t xml:space="preserve">debt_service_vnd</t>
        </is>
      </c>
      <c r="E1" s="4" t="inlineStr">
        <is>
          <t xml:space="preserve">dsra_opening_vnd</t>
        </is>
      </c>
      <c r="F1" s="4" t="inlineStr">
        <is>
          <t xml:space="preserve">dsra_funding_vnd</t>
        </is>
      </c>
      <c r="G1" s="4" t="inlineStr">
        <is>
          <t xml:space="preserve">cash_trap_vnd</t>
        </is>
      </c>
      <c r="H1" s="4" t="inlineStr">
        <is>
          <t xml:space="preserve">distribution_vnd</t>
        </is>
      </c>
      <c r="I1" s="4" t="inlineStr">
        <is>
          <t xml:space="preserve">dsra_release_vnd</t>
        </is>
      </c>
      <c r="J1" s="4" t="inlineStr">
        <is>
          <t xml:space="preserve">dsra_closing_vnd</t>
        </is>
      </c>
      <c r="K1" s="4" t="inlineStr">
        <is>
          <t xml:space="preserve">terminal_value_vnd</t>
        </is>
      </c>
      <c r="L1" s="4" t="inlineStr">
        <is>
          <t xml:space="preserve">terminal_branch</t>
        </is>
      </c>
      <c r="M1" s="4" t="inlineStr">
        <is>
          <t xml:space="preserve">waterfall_status</t>
        </is>
      </c>
    </row>
    <row r="2">
      <c r="A2" s="0" t="inlineStr">
        <is>
          <t xml:space="preserve">VG-001</t>
        </is>
      </c>
      <c r="B2" s="23">
        <v>1</v>
      </c>
      <c r="C2" s="9">
        <v>2718161165.7810984</v>
      </c>
      <c r="D2" s="9">
        <v>2090893204.4469986</v>
      </c>
      <c r="E2" s="9">
        <v>0</v>
      </c>
      <c r="F2" s="9">
        <v>1045446602.2234993</v>
      </c>
      <c r="G2" s="9">
        <v>0</v>
      </c>
      <c r="H2" s="9">
        <v>627267961.3340998</v>
      </c>
      <c r="I2" s="9">
        <v>0</v>
      </c>
      <c r="J2" s="9">
        <v>1045446602.2234993</v>
      </c>
      <c r="K2" s="9">
        <v>0</v>
      </c>
      <c r="L2" s="0" t="inlineStr">
        <is>
          <t xml:space="preserve">ZERO_RESIDUAL_NO_SALE</t>
        </is>
      </c>
      <c r="M2" s="0" t="inlineStr">
        <is>
          <t xml:space="preserve">DISTRIBUTION</t>
        </is>
      </c>
    </row>
    <row r="3">
      <c r="A3" s="0" t="inlineStr">
        <is>
          <t xml:space="preserve">VG-001</t>
        </is>
      </c>
      <c r="B3" s="23">
        <v>2</v>
      </c>
      <c r="C3" s="9">
        <v>3039469805.7794547</v>
      </c>
      <c r="D3" s="9">
        <v>2338053696.7534266</v>
      </c>
      <c r="E3" s="9">
        <v>1045446602.2234993</v>
      </c>
      <c r="F3" s="9">
        <v>0</v>
      </c>
      <c r="G3" s="9">
        <v>0</v>
      </c>
      <c r="H3" s="9">
        <v>701416109.0260282</v>
      </c>
      <c r="I3" s="9">
        <v>0</v>
      </c>
      <c r="J3" s="9">
        <v>1045446602.2234993</v>
      </c>
      <c r="K3" s="9">
        <v>0</v>
      </c>
      <c r="L3" s="0" t="inlineStr">
        <is>
          <t xml:space="preserve">ZERO_RESIDUAL_NO_SALE</t>
        </is>
      </c>
      <c r="M3" s="0" t="inlineStr">
        <is>
          <t xml:space="preserve">DISTRIBUTION</t>
        </is>
      </c>
    </row>
    <row r="4">
      <c r="A4" s="0" t="inlineStr">
        <is>
          <t xml:space="preserve">VG-001</t>
        </is>
      </c>
      <c r="B4" s="23">
        <v>3</v>
      </c>
      <c r="C4" s="9">
        <v>3046196530.9430633</v>
      </c>
      <c r="D4" s="9">
        <v>2343228100.7254333</v>
      </c>
      <c r="E4" s="9">
        <v>1045446602.2234993</v>
      </c>
      <c r="F4" s="9">
        <v>0</v>
      </c>
      <c r="G4" s="9">
        <v>0</v>
      </c>
      <c r="H4" s="9">
        <v>702968430.2176299</v>
      </c>
      <c r="I4" s="9">
        <v>0</v>
      </c>
      <c r="J4" s="9">
        <v>1045446602.2234993</v>
      </c>
      <c r="K4" s="9">
        <v>0</v>
      </c>
      <c r="L4" s="0" t="inlineStr">
        <is>
          <t xml:space="preserve">ZERO_RESIDUAL_NO_SALE</t>
        </is>
      </c>
      <c r="M4" s="0" t="inlineStr">
        <is>
          <t xml:space="preserve">DISTRIBUTION</t>
        </is>
      </c>
    </row>
    <row r="5">
      <c r="A5" s="0" t="inlineStr">
        <is>
          <t xml:space="preserve">VG-001</t>
        </is>
      </c>
      <c r="B5" s="23">
        <v>4</v>
      </c>
      <c r="C5" s="9">
        <v>3052827604.9962316</v>
      </c>
      <c r="D5" s="9">
        <v>2348328926.920178</v>
      </c>
      <c r="E5" s="9">
        <v>1045446602.2234993</v>
      </c>
      <c r="F5" s="9">
        <v>0</v>
      </c>
      <c r="G5" s="9">
        <v>0</v>
      </c>
      <c r="H5" s="9">
        <v>704498678.0760536</v>
      </c>
      <c r="I5" s="9">
        <v>0</v>
      </c>
      <c r="J5" s="9">
        <v>1045446602.2234993</v>
      </c>
      <c r="K5" s="9">
        <v>0</v>
      </c>
      <c r="L5" s="0" t="inlineStr">
        <is>
          <t xml:space="preserve">ZERO_RESIDUAL_NO_SALE</t>
        </is>
      </c>
      <c r="M5" s="0" t="inlineStr">
        <is>
          <t xml:space="preserve">DISTRIBUTION</t>
        </is>
      </c>
    </row>
    <row r="6">
      <c r="A6" s="0" t="inlineStr">
        <is>
          <t xml:space="preserve">VG-001</t>
        </is>
      </c>
      <c r="B6" s="23">
        <v>5</v>
      </c>
      <c r="C6" s="9">
        <v>2917600098.6040235</v>
      </c>
      <c r="D6" s="9">
        <v>2244307768.156941</v>
      </c>
      <c r="E6" s="9">
        <v>1045446602.2234993</v>
      </c>
      <c r="F6" s="9">
        <v>0</v>
      </c>
      <c r="G6" s="9">
        <v>0</v>
      </c>
      <c r="H6" s="9">
        <v>673292330.4470825</v>
      </c>
      <c r="I6" s="9">
        <v>0</v>
      </c>
      <c r="J6" s="9">
        <v>1045446602.2234993</v>
      </c>
      <c r="K6" s="9">
        <v>0</v>
      </c>
      <c r="L6" s="0" t="inlineStr">
        <is>
          <t xml:space="preserve">ZERO_RESIDUAL_NO_SALE</t>
        </is>
      </c>
      <c r="M6" s="0" t="inlineStr">
        <is>
          <t xml:space="preserve">DISTRIBUTION</t>
        </is>
      </c>
    </row>
    <row r="7">
      <c r="A7" s="0" t="inlineStr">
        <is>
          <t xml:space="preserve">VG-001</t>
        </is>
      </c>
      <c r="B7" s="23">
        <v>6</v>
      </c>
      <c r="C7" s="9">
        <v>3065790523.3183174</v>
      </c>
      <c r="D7" s="9">
        <v>2358300402.5525517</v>
      </c>
      <c r="E7" s="9">
        <v>1045446602.2234993</v>
      </c>
      <c r="F7" s="9">
        <v>0</v>
      </c>
      <c r="G7" s="9">
        <v>0</v>
      </c>
      <c r="H7" s="9">
        <v>707490120.7657657</v>
      </c>
      <c r="I7" s="9">
        <v>0</v>
      </c>
      <c r="J7" s="9">
        <v>1045446602.2234993</v>
      </c>
      <c r="K7" s="9">
        <v>0</v>
      </c>
      <c r="L7" s="0" t="inlineStr">
        <is>
          <t xml:space="preserve">ZERO_RESIDUAL_NO_SALE</t>
        </is>
      </c>
      <c r="M7" s="0" t="inlineStr">
        <is>
          <t xml:space="preserve">DISTRIBUTION</t>
        </is>
      </c>
    </row>
    <row r="8">
      <c r="A8" s="0" t="inlineStr">
        <is>
          <t xml:space="preserve">VG-001</t>
        </is>
      </c>
      <c r="B8" s="23">
        <v>7</v>
      </c>
      <c r="C8" s="9">
        <v>3072116061.2767167</v>
      </c>
      <c r="D8" s="9">
        <v>2363166200.9820895</v>
      </c>
      <c r="E8" s="9">
        <v>1045446602.2234993</v>
      </c>
      <c r="F8" s="9">
        <v>0</v>
      </c>
      <c r="G8" s="9">
        <v>0</v>
      </c>
      <c r="H8" s="9">
        <v>708949860.2946272</v>
      </c>
      <c r="I8" s="9">
        <v>0</v>
      </c>
      <c r="J8" s="9">
        <v>1045446602.2234993</v>
      </c>
      <c r="K8" s="9">
        <v>0</v>
      </c>
      <c r="L8" s="0" t="inlineStr">
        <is>
          <t xml:space="preserve">ZERO_RESIDUAL_NO_SALE</t>
        </is>
      </c>
      <c r="M8" s="0" t="inlineStr">
        <is>
          <t xml:space="preserve">DISTRIBUTION</t>
        </is>
      </c>
    </row>
    <row r="9">
      <c r="A9" s="0" t="inlineStr">
        <is>
          <t xml:space="preserve">VG-001</t>
        </is>
      </c>
      <c r="B9" s="23">
        <v>8</v>
      </c>
      <c r="C9" s="9">
        <v>3078333332.752868</v>
      </c>
      <c r="D9" s="9">
        <v>2367948717.5022063</v>
      </c>
      <c r="E9" s="9">
        <v>1045446602.2234993</v>
      </c>
      <c r="F9" s="9">
        <v>0</v>
      </c>
      <c r="G9" s="9">
        <v>0</v>
      </c>
      <c r="H9" s="9">
        <v>710384615.2506618</v>
      </c>
      <c r="I9" s="9">
        <v>0</v>
      </c>
      <c r="J9" s="9">
        <v>1045446602.2234993</v>
      </c>
      <c r="K9" s="9">
        <v>0</v>
      </c>
      <c r="L9" s="0" t="inlineStr">
        <is>
          <t xml:space="preserve">ZERO_RESIDUAL_NO_SALE</t>
        </is>
      </c>
      <c r="M9" s="0" t="inlineStr">
        <is>
          <t xml:space="preserve">DISTRIBUTION</t>
        </is>
      </c>
    </row>
    <row r="10">
      <c r="A10" s="0" t="inlineStr">
        <is>
          <t xml:space="preserve">VG-001</t>
        </is>
      </c>
      <c r="B10" s="23">
        <v>9</v>
      </c>
      <c r="C10" s="9">
        <v>3084439010.2697835</v>
      </c>
      <c r="D10" s="9">
        <v>2372645392.515218</v>
      </c>
      <c r="E10" s="9">
        <v>1045446602.2234993</v>
      </c>
      <c r="F10" s="9">
        <v>0</v>
      </c>
      <c r="G10" s="9">
        <v>0</v>
      </c>
      <c r="H10" s="9">
        <v>711793617.7545657</v>
      </c>
      <c r="I10" s="9">
        <v>0</v>
      </c>
      <c r="J10" s="9">
        <v>1045446602.2234993</v>
      </c>
      <c r="K10" s="9">
        <v>0</v>
      </c>
      <c r="L10" s="0" t="inlineStr">
        <is>
          <t xml:space="preserve">ZERO_RESIDUAL_NO_SALE</t>
        </is>
      </c>
      <c r="M10" s="0" t="inlineStr">
        <is>
          <t xml:space="preserve">DISTRIBUTION</t>
        </is>
      </c>
    </row>
    <row r="11">
      <c r="A11" s="0" t="inlineStr">
        <is>
          <t xml:space="preserve">VG-001</t>
        </is>
      </c>
      <c r="B11" s="23">
        <v>10</v>
      </c>
      <c r="C11" s="9">
        <v>2948669817.1543636</v>
      </c>
      <c r="D11" s="9">
        <v>1004570979.3706636</v>
      </c>
      <c r="E11" s="9">
        <v>1045446602.2234993</v>
      </c>
      <c r="F11" s="9">
        <v>0</v>
      </c>
      <c r="G11" s="9">
        <v>0</v>
      </c>
      <c r="H11" s="9">
        <v>1944098837.7837</v>
      </c>
      <c r="I11" s="9">
        <v>0</v>
      </c>
      <c r="J11" s="9">
        <v>1045446602.2234993</v>
      </c>
      <c r="K11" s="9">
        <v>0</v>
      </c>
      <c r="L11" s="0" t="inlineStr">
        <is>
          <t xml:space="preserve">ZERO_RESIDUAL_NO_SALE</t>
        </is>
      </c>
      <c r="M11" s="0" t="inlineStr">
        <is>
          <t xml:space="preserve">DISTRIBUTION</t>
        </is>
      </c>
    </row>
    <row r="12">
      <c r="A12" s="0" t="inlineStr">
        <is>
          <t xml:space="preserve">VG-001</t>
        </is>
      </c>
      <c r="B12" s="23">
        <v>11</v>
      </c>
      <c r="C12" s="9">
        <v>3096301910.532581</v>
      </c>
      <c r="D12" s="9">
        <v>0</v>
      </c>
      <c r="E12" s="9">
        <v>1045446602.2234993</v>
      </c>
      <c r="F12" s="9">
        <v>0</v>
      </c>
      <c r="G12" s="9">
        <v>0</v>
      </c>
      <c r="H12" s="9">
        <v>3096301910.532581</v>
      </c>
      <c r="I12" s="9">
        <v>0</v>
      </c>
      <c r="J12" s="9">
        <v>1045446602.2234993</v>
      </c>
      <c r="K12" s="9">
        <v>0</v>
      </c>
      <c r="L12" s="0" t="inlineStr">
        <is>
          <t xml:space="preserve">ZERO_RESIDUAL_NO_SALE</t>
        </is>
      </c>
      <c r="M12" s="0" t="inlineStr">
        <is>
          <t xml:space="preserve">DISTRIBUTION</t>
        </is>
      </c>
    </row>
    <row r="13">
      <c r="A13" s="0" t="inlineStr">
        <is>
          <t xml:space="preserve">VG-001</t>
        </is>
      </c>
      <c r="B13" s="23">
        <v>12</v>
      </c>
      <c r="C13" s="9">
        <v>3102052110.88593</v>
      </c>
      <c r="D13" s="9">
        <v>0</v>
      </c>
      <c r="E13" s="9">
        <v>1045446602.2234993</v>
      </c>
      <c r="F13" s="9">
        <v>0</v>
      </c>
      <c r="G13" s="9">
        <v>0</v>
      </c>
      <c r="H13" s="9">
        <v>3102052110.88593</v>
      </c>
      <c r="I13" s="9">
        <v>0</v>
      </c>
      <c r="J13" s="9">
        <v>1045446602.2234993</v>
      </c>
      <c r="K13" s="9">
        <v>0</v>
      </c>
      <c r="L13" s="0" t="inlineStr">
        <is>
          <t xml:space="preserve">ZERO_RESIDUAL_NO_SALE</t>
        </is>
      </c>
      <c r="M13" s="0" t="inlineStr">
        <is>
          <t xml:space="preserve">DISTRIBUTION</t>
        </is>
      </c>
    </row>
    <row r="14">
      <c r="A14" s="0" t="inlineStr">
        <is>
          <t xml:space="preserve">VG-001</t>
        </is>
      </c>
      <c r="B14" s="23">
        <v>13</v>
      </c>
      <c r="C14" s="9">
        <v>3107676669.4564533</v>
      </c>
      <c r="D14" s="9">
        <v>0</v>
      </c>
      <c r="E14" s="9">
        <v>1045446602.2234993</v>
      </c>
      <c r="F14" s="9">
        <v>0</v>
      </c>
      <c r="G14" s="9">
        <v>0</v>
      </c>
      <c r="H14" s="9">
        <v>3107676669.4564533</v>
      </c>
      <c r="I14" s="9">
        <v>0</v>
      </c>
      <c r="J14" s="9">
        <v>1045446602.2234993</v>
      </c>
      <c r="K14" s="9">
        <v>0</v>
      </c>
      <c r="L14" s="0" t="inlineStr">
        <is>
          <t xml:space="preserve">ZERO_RESIDUAL_NO_SALE</t>
        </is>
      </c>
      <c r="M14" s="0" t="inlineStr">
        <is>
          <t xml:space="preserve">DISTRIBUTION</t>
        </is>
      </c>
    </row>
    <row r="15">
      <c r="A15" s="0" t="inlineStr">
        <is>
          <t xml:space="preserve">VG-001</t>
        </is>
      </c>
      <c r="B15" s="23">
        <v>14</v>
      </c>
      <c r="C15" s="9">
        <v>3113171882.211833</v>
      </c>
      <c r="D15" s="9">
        <v>0</v>
      </c>
      <c r="E15" s="9">
        <v>1045446602.2234993</v>
      </c>
      <c r="F15" s="9">
        <v>0</v>
      </c>
      <c r="G15" s="9">
        <v>0</v>
      </c>
      <c r="H15" s="9">
        <v>3113171882.211833</v>
      </c>
      <c r="I15" s="9">
        <v>0</v>
      </c>
      <c r="J15" s="9">
        <v>1045446602.2234993</v>
      </c>
      <c r="K15" s="9">
        <v>0</v>
      </c>
      <c r="L15" s="0" t="inlineStr">
        <is>
          <t xml:space="preserve">ZERO_RESIDUAL_NO_SALE</t>
        </is>
      </c>
      <c r="M15" s="0" t="inlineStr">
        <is>
          <t xml:space="preserve">DISTRIBUTION</t>
        </is>
      </c>
    </row>
    <row r="16">
      <c r="A16" s="0" t="inlineStr">
        <is>
          <t xml:space="preserve">VG-001</t>
        </is>
      </c>
      <c r="B16" s="23">
        <v>15</v>
      </c>
      <c r="C16" s="9">
        <v>3457200764.8612742</v>
      </c>
      <c r="D16" s="9">
        <v>0</v>
      </c>
      <c r="E16" s="9">
        <v>1045446602.2234993</v>
      </c>
      <c r="F16" s="9">
        <v>0</v>
      </c>
      <c r="G16" s="9">
        <v>0</v>
      </c>
      <c r="H16" s="9">
        <v>3457200764.8612742</v>
      </c>
      <c r="I16" s="9">
        <v>1045446602.2234993</v>
      </c>
      <c r="J16" s="9">
        <v>0</v>
      </c>
      <c r="K16" s="9">
        <v>0</v>
      </c>
      <c r="L16" s="0" t="inlineStr">
        <is>
          <t xml:space="preserve">ZERO_RESIDUAL_NO_SALE</t>
        </is>
      </c>
      <c r="M16" s="0" t="inlineStr">
        <is>
          <t xml:space="preserve">RELEASE</t>
        </is>
      </c>
    </row>
    <row r="17">
      <c r="A17" s="0" t="inlineStr">
        <is>
          <t xml:space="preserve">VG-002</t>
        </is>
      </c>
      <c r="B17" s="23">
        <v>1</v>
      </c>
      <c r="C17" s="9">
        <v>3030607027.3682027</v>
      </c>
      <c r="D17" s="9">
        <v>2331236174.8986173</v>
      </c>
      <c r="E17" s="9">
        <v>0</v>
      </c>
      <c r="F17" s="9">
        <v>1165618087.4493086</v>
      </c>
      <c r="G17" s="9">
        <v>0</v>
      </c>
      <c r="H17" s="9">
        <v>699370852.4695854</v>
      </c>
      <c r="I17" s="9">
        <v>0</v>
      </c>
      <c r="J17" s="9">
        <v>1165618087.4493086</v>
      </c>
      <c r="K17" s="9">
        <v>0</v>
      </c>
      <c r="L17" s="0" t="inlineStr">
        <is>
          <t xml:space="preserve">ZERO_RESIDUAL_NO_SALE</t>
        </is>
      </c>
      <c r="M17" s="0" t="inlineStr">
        <is>
          <t xml:space="preserve">DISTRIBUTION</t>
        </is>
      </c>
    </row>
    <row r="18">
      <c r="A18" s="0" t="inlineStr">
        <is>
          <t xml:space="preserve">VG-002</t>
        </is>
      </c>
      <c r="B18" s="23">
        <v>2</v>
      </c>
      <c r="C18" s="9">
        <v>3388996654.7949424</v>
      </c>
      <c r="D18" s="9">
        <v>2606920503.688417</v>
      </c>
      <c r="E18" s="9">
        <v>1165618087.4493086</v>
      </c>
      <c r="F18" s="9">
        <v>0</v>
      </c>
      <c r="G18" s="9">
        <v>0</v>
      </c>
      <c r="H18" s="9">
        <v>782076151.1065254</v>
      </c>
      <c r="I18" s="9">
        <v>0</v>
      </c>
      <c r="J18" s="9">
        <v>1165618087.4493086</v>
      </c>
      <c r="K18" s="9">
        <v>0</v>
      </c>
      <c r="L18" s="0" t="inlineStr">
        <is>
          <t xml:space="preserve">ZERO_RESIDUAL_NO_SALE</t>
        </is>
      </c>
      <c r="M18" s="0" t="inlineStr">
        <is>
          <t xml:space="preserve">DISTRIBUTION</t>
        </is>
      </c>
    </row>
    <row r="19">
      <c r="A19" s="0" t="inlineStr">
        <is>
          <t xml:space="preserve">VG-002</t>
        </is>
      </c>
      <c r="B19" s="23">
        <v>3</v>
      </c>
      <c r="C19" s="9">
        <v>3396859348.548678</v>
      </c>
      <c r="D19" s="9">
        <v>2612968729.652829</v>
      </c>
      <c r="E19" s="9">
        <v>1165618087.4493086</v>
      </c>
      <c r="F19" s="9">
        <v>0</v>
      </c>
      <c r="G19" s="9">
        <v>0</v>
      </c>
      <c r="H19" s="9">
        <v>783890618.8958488</v>
      </c>
      <c r="I19" s="9">
        <v>0</v>
      </c>
      <c r="J19" s="9">
        <v>1165618087.4493086</v>
      </c>
      <c r="K19" s="9">
        <v>0</v>
      </c>
      <c r="L19" s="0" t="inlineStr">
        <is>
          <t xml:space="preserve">ZERO_RESIDUAL_NO_SALE</t>
        </is>
      </c>
      <c r="M19" s="0" t="inlineStr">
        <is>
          <t xml:space="preserve">DISTRIBUTION</t>
        </is>
      </c>
    </row>
    <row r="20">
      <c r="A20" s="0" t="inlineStr">
        <is>
          <t xml:space="preserve">VG-002</t>
        </is>
      </c>
      <c r="B20" s="23">
        <v>4</v>
      </c>
      <c r="C20" s="9">
        <v>3404622803.6364937</v>
      </c>
      <c r="D20" s="9">
        <v>2618940618.181918</v>
      </c>
      <c r="E20" s="9">
        <v>1165618087.4493086</v>
      </c>
      <c r="F20" s="9">
        <v>0</v>
      </c>
      <c r="G20" s="9">
        <v>0</v>
      </c>
      <c r="H20" s="9">
        <v>785682185.4545755</v>
      </c>
      <c r="I20" s="9">
        <v>0</v>
      </c>
      <c r="J20" s="9">
        <v>1165618087.4493086</v>
      </c>
      <c r="K20" s="9">
        <v>0</v>
      </c>
      <c r="L20" s="0" t="inlineStr">
        <is>
          <t xml:space="preserve">ZERO_RESIDUAL_NO_SALE</t>
        </is>
      </c>
      <c r="M20" s="0" t="inlineStr">
        <is>
          <t xml:space="preserve">DISTRIBUTION</t>
        </is>
      </c>
    </row>
    <row r="21">
      <c r="A21" s="0" t="inlineStr">
        <is>
          <t xml:space="preserve">VG-002</t>
        </is>
      </c>
      <c r="B21" s="23">
        <v>5</v>
      </c>
      <c r="C21" s="9">
        <v>3260398183.26063</v>
      </c>
      <c r="D21" s="9">
        <v>2507998602.508177</v>
      </c>
      <c r="E21" s="9">
        <v>1165618087.4493086</v>
      </c>
      <c r="F21" s="9">
        <v>0</v>
      </c>
      <c r="G21" s="9">
        <v>0</v>
      </c>
      <c r="H21" s="9">
        <v>752399580.7524533</v>
      </c>
      <c r="I21" s="9">
        <v>0</v>
      </c>
      <c r="J21" s="9">
        <v>1165618087.4493086</v>
      </c>
      <c r="K21" s="9">
        <v>0</v>
      </c>
      <c r="L21" s="0" t="inlineStr">
        <is>
          <t xml:space="preserve">ZERO_RESIDUAL_NO_SALE</t>
        </is>
      </c>
      <c r="M21" s="0" t="inlineStr">
        <is>
          <t xml:space="preserve">DISTRIBUTION</t>
        </is>
      </c>
    </row>
    <row r="22">
      <c r="A22" s="0" t="inlineStr">
        <is>
          <t xml:space="preserve">VG-002</t>
        </is>
      </c>
      <c r="B22" s="23">
        <v>6</v>
      </c>
      <c r="C22" s="9">
        <v>3419838908.7958465</v>
      </c>
      <c r="D22" s="9">
        <v>2630645314.4583435</v>
      </c>
      <c r="E22" s="9">
        <v>1165618087.4493086</v>
      </c>
      <c r="F22" s="9">
        <v>0</v>
      </c>
      <c r="G22" s="9">
        <v>0</v>
      </c>
      <c r="H22" s="9">
        <v>789193594.337503</v>
      </c>
      <c r="I22" s="9">
        <v>0</v>
      </c>
      <c r="J22" s="9">
        <v>1165618087.4493086</v>
      </c>
      <c r="K22" s="9">
        <v>0</v>
      </c>
      <c r="L22" s="0" t="inlineStr">
        <is>
          <t xml:space="preserve">ZERO_RESIDUAL_NO_SALE</t>
        </is>
      </c>
      <c r="M22" s="0" t="inlineStr">
        <is>
          <t xml:space="preserve">DISTRIBUTION</t>
        </is>
      </c>
    </row>
    <row r="23">
      <c r="A23" s="0" t="inlineStr">
        <is>
          <t xml:space="preserve">VG-002</t>
        </is>
      </c>
      <c r="B23" s="23">
        <v>7</v>
      </c>
      <c r="C23" s="9">
        <v>3427284834.4672146</v>
      </c>
      <c r="D23" s="9">
        <v>2636372949.590165</v>
      </c>
      <c r="E23" s="9">
        <v>1165618087.4493086</v>
      </c>
      <c r="F23" s="9">
        <v>0</v>
      </c>
      <c r="G23" s="9">
        <v>0</v>
      </c>
      <c r="H23" s="9">
        <v>790911884.8770494</v>
      </c>
      <c r="I23" s="9">
        <v>0</v>
      </c>
      <c r="J23" s="9">
        <v>1165618087.4493086</v>
      </c>
      <c r="K23" s="9">
        <v>0</v>
      </c>
      <c r="L23" s="0" t="inlineStr">
        <is>
          <t xml:space="preserve">ZERO_RESIDUAL_NO_SALE</t>
        </is>
      </c>
      <c r="M23" s="0" t="inlineStr">
        <is>
          <t xml:space="preserve">DISTRIBUTION</t>
        </is>
      </c>
    </row>
    <row r="24">
      <c r="A24" s="0" t="inlineStr">
        <is>
          <t xml:space="preserve">VG-002</t>
        </is>
      </c>
      <c r="B24" s="23">
        <v>8</v>
      </c>
      <c r="C24" s="9">
        <v>3434618069.7258615</v>
      </c>
      <c r="D24" s="9">
        <v>2642013899.789124</v>
      </c>
      <c r="E24" s="9">
        <v>1165618087.4493086</v>
      </c>
      <c r="F24" s="9">
        <v>0</v>
      </c>
      <c r="G24" s="9">
        <v>0</v>
      </c>
      <c r="H24" s="9">
        <v>792604169.9367375</v>
      </c>
      <c r="I24" s="9">
        <v>0</v>
      </c>
      <c r="J24" s="9">
        <v>1165618087.4493086</v>
      </c>
      <c r="K24" s="9">
        <v>0</v>
      </c>
      <c r="L24" s="0" t="inlineStr">
        <is>
          <t xml:space="preserve">ZERO_RESIDUAL_NO_SALE</t>
        </is>
      </c>
      <c r="M24" s="0" t="inlineStr">
        <is>
          <t xml:space="preserve">DISTRIBUTION</t>
        </is>
      </c>
    </row>
    <row r="25">
      <c r="A25" s="0" t="inlineStr">
        <is>
          <t xml:space="preserve">VG-002</t>
        </is>
      </c>
      <c r="B25" s="23">
        <v>9</v>
      </c>
      <c r="C25" s="9">
        <v>3441835065.79935</v>
      </c>
      <c r="D25" s="9">
        <v>2647565435.230269</v>
      </c>
      <c r="E25" s="9">
        <v>1165618087.4493086</v>
      </c>
      <c r="F25" s="9">
        <v>0</v>
      </c>
      <c r="G25" s="9">
        <v>0</v>
      </c>
      <c r="H25" s="9">
        <v>794269630.5690808</v>
      </c>
      <c r="I25" s="9">
        <v>0</v>
      </c>
      <c r="J25" s="9">
        <v>1165618087.4493086</v>
      </c>
      <c r="K25" s="9">
        <v>0</v>
      </c>
      <c r="L25" s="0" t="inlineStr">
        <is>
          <t xml:space="preserve">ZERO_RESIDUAL_NO_SALE</t>
        </is>
      </c>
      <c r="M25" s="0" t="inlineStr">
        <is>
          <t xml:space="preserve">DISTRIBUTION</t>
        </is>
      </c>
    </row>
    <row r="26">
      <c r="A26" s="0" t="inlineStr">
        <is>
          <t xml:space="preserve">VG-002</t>
        </is>
      </c>
      <c r="B26" s="23">
        <v>10</v>
      </c>
      <c r="C26" s="9">
        <v>3297046614.143355</v>
      </c>
      <c r="D26" s="9">
        <v>1126330792.5641334</v>
      </c>
      <c r="E26" s="9">
        <v>1165618087.4493086</v>
      </c>
      <c r="F26" s="9">
        <v>0</v>
      </c>
      <c r="G26" s="9">
        <v>0</v>
      </c>
      <c r="H26" s="9">
        <v>2170715821.5792217</v>
      </c>
      <c r="I26" s="9">
        <v>0</v>
      </c>
      <c r="J26" s="9">
        <v>1165618087.4493086</v>
      </c>
      <c r="K26" s="9">
        <v>0</v>
      </c>
      <c r="L26" s="0" t="inlineStr">
        <is>
          <t xml:space="preserve">ZERO_RESIDUAL_NO_SALE</t>
        </is>
      </c>
      <c r="M26" s="0" t="inlineStr">
        <is>
          <t xml:space="preserve">DISTRIBUTION</t>
        </is>
      </c>
    </row>
    <row r="27">
      <c r="A27" s="0" t="inlineStr">
        <is>
          <t xml:space="preserve">VG-002</t>
        </is>
      </c>
      <c r="B27" s="23">
        <v>11</v>
      </c>
      <c r="C27" s="9">
        <v>3455905756.794046</v>
      </c>
      <c r="D27" s="9">
        <v>0</v>
      </c>
      <c r="E27" s="9">
        <v>1165618087.4493086</v>
      </c>
      <c r="F27" s="9">
        <v>0</v>
      </c>
      <c r="G27" s="9">
        <v>0</v>
      </c>
      <c r="H27" s="9">
        <v>3455905756.794046</v>
      </c>
      <c r="I27" s="9">
        <v>0</v>
      </c>
      <c r="J27" s="9">
        <v>1165618087.4493086</v>
      </c>
      <c r="K27" s="9">
        <v>0</v>
      </c>
      <c r="L27" s="0" t="inlineStr">
        <is>
          <t xml:space="preserve">ZERO_RESIDUAL_NO_SALE</t>
        </is>
      </c>
      <c r="M27" s="0" t="inlineStr">
        <is>
          <t xml:space="preserve">DISTRIBUTION</t>
        </is>
      </c>
    </row>
    <row r="28">
      <c r="A28" s="0" t="inlineStr">
        <is>
          <t xml:space="preserve">VG-002</t>
        </is>
      </c>
      <c r="B28" s="23">
        <v>12</v>
      </c>
      <c r="C28" s="9">
        <v>3462751960.893262</v>
      </c>
      <c r="D28" s="9">
        <v>0</v>
      </c>
      <c r="E28" s="9">
        <v>1165618087.4493086</v>
      </c>
      <c r="F28" s="9">
        <v>0</v>
      </c>
      <c r="G28" s="9">
        <v>0</v>
      </c>
      <c r="H28" s="9">
        <v>3462751960.893262</v>
      </c>
      <c r="I28" s="9">
        <v>0</v>
      </c>
      <c r="J28" s="9">
        <v>1165618087.4493086</v>
      </c>
      <c r="K28" s="9">
        <v>0</v>
      </c>
      <c r="L28" s="0" t="inlineStr">
        <is>
          <t xml:space="preserve">ZERO_RESIDUAL_NO_SALE</t>
        </is>
      </c>
      <c r="M28" s="0" t="inlineStr">
        <is>
          <t xml:space="preserve">DISTRIBUTION</t>
        </is>
      </c>
    </row>
    <row r="29">
      <c r="A29" s="0" t="inlineStr">
        <is>
          <t xml:space="preserve">VG-002</t>
        </is>
      </c>
      <c r="B29" s="23">
        <v>13</v>
      </c>
      <c r="C29" s="9">
        <v>3469466940.9085813</v>
      </c>
      <c r="D29" s="9">
        <v>0</v>
      </c>
      <c r="E29" s="9">
        <v>1165618087.4493086</v>
      </c>
      <c r="F29" s="9">
        <v>0</v>
      </c>
      <c r="G29" s="9">
        <v>0</v>
      </c>
      <c r="H29" s="9">
        <v>3469466940.9085813</v>
      </c>
      <c r="I29" s="9">
        <v>0</v>
      </c>
      <c r="J29" s="9">
        <v>1165618087.4493086</v>
      </c>
      <c r="K29" s="9">
        <v>0</v>
      </c>
      <c r="L29" s="0" t="inlineStr">
        <is>
          <t xml:space="preserve">ZERO_RESIDUAL_NO_SALE</t>
        </is>
      </c>
      <c r="M29" s="0" t="inlineStr">
        <is>
          <t xml:space="preserve">DISTRIBUTION</t>
        </is>
      </c>
    </row>
    <row r="30">
      <c r="A30" s="0" t="inlineStr">
        <is>
          <t xml:space="preserve">VG-002</t>
        </is>
      </c>
      <c r="B30" s="23">
        <v>14</v>
      </c>
      <c r="C30" s="9">
        <v>3476046745.024904</v>
      </c>
      <c r="D30" s="9">
        <v>0</v>
      </c>
      <c r="E30" s="9">
        <v>1165618087.4493086</v>
      </c>
      <c r="F30" s="9">
        <v>0</v>
      </c>
      <c r="G30" s="9">
        <v>0</v>
      </c>
      <c r="H30" s="9">
        <v>3476046745.024904</v>
      </c>
      <c r="I30" s="9">
        <v>0</v>
      </c>
      <c r="J30" s="9">
        <v>1165618087.4493086</v>
      </c>
      <c r="K30" s="9">
        <v>0</v>
      </c>
      <c r="L30" s="0" t="inlineStr">
        <is>
          <t xml:space="preserve">ZERO_RESIDUAL_NO_SALE</t>
        </is>
      </c>
      <c r="M30" s="0" t="inlineStr">
        <is>
          <t xml:space="preserve">DISTRIBUTION</t>
        </is>
      </c>
    </row>
    <row r="31">
      <c r="A31" s="0" t="inlineStr">
        <is>
          <t xml:space="preserve">VG-002</t>
        </is>
      </c>
      <c r="B31" s="23">
        <v>15</v>
      </c>
      <c r="C31" s="9">
        <v>3859858912.6498165</v>
      </c>
      <c r="D31" s="9">
        <v>0</v>
      </c>
      <c r="E31" s="9">
        <v>1165618087.4493086</v>
      </c>
      <c r="F31" s="9">
        <v>0</v>
      </c>
      <c r="G31" s="9">
        <v>0</v>
      </c>
      <c r="H31" s="9">
        <v>3859858912.6498165</v>
      </c>
      <c r="I31" s="9">
        <v>1165618087.4493086</v>
      </c>
      <c r="J31" s="9">
        <v>0</v>
      </c>
      <c r="K31" s="9">
        <v>0</v>
      </c>
      <c r="L31" s="0" t="inlineStr">
        <is>
          <t xml:space="preserve">ZERO_RESIDUAL_NO_SALE</t>
        </is>
      </c>
      <c r="M31" s="0" t="inlineStr">
        <is>
          <t xml:space="preserve">RELEASE</t>
        </is>
      </c>
    </row>
    <row r="32">
      <c r="A32" s="0" t="inlineStr">
        <is>
          <t xml:space="preserve">VG-003</t>
        </is>
      </c>
      <c r="B32" s="23">
        <v>1</v>
      </c>
      <c r="C32" s="9">
        <v>2172875385.0745816</v>
      </c>
      <c r="D32" s="9">
        <v>1671442603.9035242</v>
      </c>
      <c r="E32" s="9">
        <v>0</v>
      </c>
      <c r="F32" s="9">
        <v>835721301.9517621</v>
      </c>
      <c r="G32" s="9">
        <v>0</v>
      </c>
      <c r="H32" s="9">
        <v>501432781.17105746</v>
      </c>
      <c r="I32" s="9">
        <v>0</v>
      </c>
      <c r="J32" s="9">
        <v>835721301.9517621</v>
      </c>
      <c r="K32" s="9">
        <v>0</v>
      </c>
      <c r="L32" s="0" t="inlineStr">
        <is>
          <t xml:space="preserve">ZERO_RESIDUAL_NO_SALE</t>
        </is>
      </c>
      <c r="M32" s="0" t="inlineStr">
        <is>
          <t xml:space="preserve">DISTRIBUTION</t>
        </is>
      </c>
    </row>
    <row r="33">
      <c r="A33" s="0" t="inlineStr">
        <is>
          <t xml:space="preserve">VG-003</t>
        </is>
      </c>
      <c r="B33" s="23">
        <v>2</v>
      </c>
      <c r="C33" s="9">
        <v>2429773147.1630635</v>
      </c>
      <c r="D33" s="9">
        <v>1869056267.0485103</v>
      </c>
      <c r="E33" s="9">
        <v>835721301.9517621</v>
      </c>
      <c r="F33" s="9">
        <v>0</v>
      </c>
      <c r="G33" s="9">
        <v>0</v>
      </c>
      <c r="H33" s="9">
        <v>560716880.1145532</v>
      </c>
      <c r="I33" s="9">
        <v>0</v>
      </c>
      <c r="J33" s="9">
        <v>835721301.9517621</v>
      </c>
      <c r="K33" s="9">
        <v>0</v>
      </c>
      <c r="L33" s="0" t="inlineStr">
        <is>
          <t xml:space="preserve">ZERO_RESIDUAL_NO_SALE</t>
        </is>
      </c>
      <c r="M33" s="0" t="inlineStr">
        <is>
          <t xml:space="preserve">DISTRIBUTION</t>
        </is>
      </c>
    </row>
    <row r="34">
      <c r="A34" s="0" t="inlineStr">
        <is>
          <t xml:space="preserve">VG-003</t>
        </is>
      </c>
      <c r="B34" s="23">
        <v>3</v>
      </c>
      <c r="C34" s="9">
        <v>2435264441.8040214</v>
      </c>
      <c r="D34" s="9">
        <v>1873280339.8492472</v>
      </c>
      <c r="E34" s="9">
        <v>835721301.9517621</v>
      </c>
      <c r="F34" s="9">
        <v>0</v>
      </c>
      <c r="G34" s="9">
        <v>0</v>
      </c>
      <c r="H34" s="9">
        <v>561984101.9547741</v>
      </c>
      <c r="I34" s="9">
        <v>0</v>
      </c>
      <c r="J34" s="9">
        <v>835721301.9517621</v>
      </c>
      <c r="K34" s="9">
        <v>0</v>
      </c>
      <c r="L34" s="0" t="inlineStr">
        <is>
          <t xml:space="preserve">ZERO_RESIDUAL_NO_SALE</t>
        </is>
      </c>
      <c r="M34" s="0" t="inlineStr">
        <is>
          <t xml:space="preserve">DISTRIBUTION</t>
        </is>
      </c>
    </row>
    <row r="35">
      <c r="A35" s="0" t="inlineStr">
        <is>
          <t xml:space="preserve">VG-003</t>
        </is>
      </c>
      <c r="B35" s="23">
        <v>4</v>
      </c>
      <c r="C35" s="9">
        <v>2440681601.7534513</v>
      </c>
      <c r="D35" s="9">
        <v>1877447385.9641933</v>
      </c>
      <c r="E35" s="9">
        <v>835721301.9517621</v>
      </c>
      <c r="F35" s="9">
        <v>0</v>
      </c>
      <c r="G35" s="9">
        <v>0</v>
      </c>
      <c r="H35" s="9">
        <v>563234215.789258</v>
      </c>
      <c r="I35" s="9">
        <v>0</v>
      </c>
      <c r="J35" s="9">
        <v>835721301.9517621</v>
      </c>
      <c r="K35" s="9">
        <v>0</v>
      </c>
      <c r="L35" s="0" t="inlineStr">
        <is>
          <t xml:space="preserve">ZERO_RESIDUAL_NO_SALE</t>
        </is>
      </c>
      <c r="M35" s="0" t="inlineStr">
        <is>
          <t xml:space="preserve">DISTRIBUTION</t>
        </is>
      </c>
    </row>
    <row r="36">
      <c r="A36" s="0" t="inlineStr">
        <is>
          <t xml:space="preserve">VG-003</t>
        </is>
      </c>
      <c r="B36" s="23">
        <v>5</v>
      </c>
      <c r="C36" s="9">
        <v>2334639473.295964</v>
      </c>
      <c r="D36" s="9">
        <v>1795876517.9199724</v>
      </c>
      <c r="E36" s="9">
        <v>835721301.9517621</v>
      </c>
      <c r="F36" s="9">
        <v>0</v>
      </c>
      <c r="G36" s="9">
        <v>0</v>
      </c>
      <c r="H36" s="9">
        <v>538762955.3759913</v>
      </c>
      <c r="I36" s="9">
        <v>0</v>
      </c>
      <c r="J36" s="9">
        <v>835721301.9517621</v>
      </c>
      <c r="K36" s="9">
        <v>0</v>
      </c>
      <c r="L36" s="0" t="inlineStr">
        <is>
          <t xml:space="preserve">ZERO_RESIDUAL_NO_SALE</t>
        </is>
      </c>
      <c r="M36" s="0" t="inlineStr">
        <is>
          <t xml:space="preserve">DISTRIBUTION</t>
        </is>
      </c>
    </row>
    <row r="37">
      <c r="A37" s="0" t="inlineStr">
        <is>
          <t xml:space="preserve">VG-003</t>
        </is>
      </c>
      <c r="B37" s="23">
        <v>6</v>
      </c>
      <c r="C37" s="9">
        <v>2451283892.0093675</v>
      </c>
      <c r="D37" s="9">
        <v>1885602993.8533597</v>
      </c>
      <c r="E37" s="9">
        <v>835721301.9517621</v>
      </c>
      <c r="F37" s="9">
        <v>0</v>
      </c>
      <c r="G37" s="9">
        <v>0</v>
      </c>
      <c r="H37" s="9">
        <v>565680898.1560078</v>
      </c>
      <c r="I37" s="9">
        <v>0</v>
      </c>
      <c r="J37" s="9">
        <v>835721301.9517621</v>
      </c>
      <c r="K37" s="9">
        <v>0</v>
      </c>
      <c r="L37" s="0" t="inlineStr">
        <is>
          <t xml:space="preserve">ZERO_RESIDUAL_NO_SALE</t>
        </is>
      </c>
      <c r="M37" s="0" t="inlineStr">
        <is>
          <t xml:space="preserve">DISTRIBUTION</t>
        </is>
      </c>
    </row>
    <row r="38">
      <c r="A38" s="0" t="inlineStr">
        <is>
          <t xml:space="preserve">VG-003</t>
        </is>
      </c>
      <c r="B38" s="23">
        <v>7</v>
      </c>
      <c r="C38" s="9">
        <v>2456464077.528222</v>
      </c>
      <c r="D38" s="9">
        <v>1889587751.944786</v>
      </c>
      <c r="E38" s="9">
        <v>835721301.9517621</v>
      </c>
      <c r="F38" s="9">
        <v>0</v>
      </c>
      <c r="G38" s="9">
        <v>0</v>
      </c>
      <c r="H38" s="9">
        <v>566876325.583436</v>
      </c>
      <c r="I38" s="9">
        <v>0</v>
      </c>
      <c r="J38" s="9">
        <v>835721301.9517621</v>
      </c>
      <c r="K38" s="9">
        <v>0</v>
      </c>
      <c r="L38" s="0" t="inlineStr">
        <is>
          <t xml:space="preserve">ZERO_RESIDUAL_NO_SALE</t>
        </is>
      </c>
      <c r="M38" s="0" t="inlineStr">
        <is>
          <t xml:space="preserve">DISTRIBUTION</t>
        </is>
      </c>
    </row>
    <row r="39">
      <c r="A39" s="0" t="inlineStr">
        <is>
          <t xml:space="preserve">VG-003</t>
        </is>
      </c>
      <c r="B39" s="23">
        <v>8</v>
      </c>
      <c r="C39" s="9">
        <v>2461560236.619211</v>
      </c>
      <c r="D39" s="9">
        <v>1893507874.3224702</v>
      </c>
      <c r="E39" s="9">
        <v>835721301.9517621</v>
      </c>
      <c r="F39" s="9">
        <v>0</v>
      </c>
      <c r="G39" s="9">
        <v>0</v>
      </c>
      <c r="H39" s="9">
        <v>568052362.296741</v>
      </c>
      <c r="I39" s="9">
        <v>0</v>
      </c>
      <c r="J39" s="9">
        <v>835721301.9517621</v>
      </c>
      <c r="K39" s="9">
        <v>0</v>
      </c>
      <c r="L39" s="0" t="inlineStr">
        <is>
          <t xml:space="preserve">ZERO_RESIDUAL_NO_SALE</t>
        </is>
      </c>
      <c r="M39" s="0" t="inlineStr">
        <is>
          <t xml:space="preserve">DISTRIBUTION</t>
        </is>
      </c>
    </row>
    <row r="40">
      <c r="A40" s="0" t="inlineStr">
        <is>
          <t xml:space="preserve">VG-003</t>
        </is>
      </c>
      <c r="B40" s="23">
        <v>9</v>
      </c>
      <c r="C40" s="9">
        <v>2466569759.9845967</v>
      </c>
      <c r="D40" s="9">
        <v>1897361353.834305</v>
      </c>
      <c r="E40" s="9">
        <v>835721301.9517621</v>
      </c>
      <c r="F40" s="9">
        <v>0</v>
      </c>
      <c r="G40" s="9">
        <v>0</v>
      </c>
      <c r="H40" s="9">
        <v>569208406.1502917</v>
      </c>
      <c r="I40" s="9">
        <v>0</v>
      </c>
      <c r="J40" s="9">
        <v>835721301.9517621</v>
      </c>
      <c r="K40" s="9">
        <v>0</v>
      </c>
      <c r="L40" s="0" t="inlineStr">
        <is>
          <t xml:space="preserve">ZERO_RESIDUAL_NO_SALE</t>
        </is>
      </c>
      <c r="M40" s="0" t="inlineStr">
        <is>
          <t xml:space="preserve">DISTRIBUTION</t>
        </is>
      </c>
    </row>
    <row r="41">
      <c r="A41" s="0" t="inlineStr">
        <is>
          <t xml:space="preserve">VG-003</t>
        </is>
      </c>
      <c r="B41" s="23">
        <v>10</v>
      </c>
      <c r="C41" s="9">
        <v>2360107221.126606</v>
      </c>
      <c r="D41" s="9">
        <v>805021545.9518843</v>
      </c>
      <c r="E41" s="9">
        <v>835721301.9517621</v>
      </c>
      <c r="F41" s="9">
        <v>0</v>
      </c>
      <c r="G41" s="9">
        <v>0</v>
      </c>
      <c r="H41" s="9">
        <v>1555085675.1747217</v>
      </c>
      <c r="I41" s="9">
        <v>0</v>
      </c>
      <c r="J41" s="9">
        <v>835721301.9517621</v>
      </c>
      <c r="K41" s="9">
        <v>0</v>
      </c>
      <c r="L41" s="0" t="inlineStr">
        <is>
          <t xml:space="preserve">ZERO_RESIDUAL_NO_SALE</t>
        </is>
      </c>
      <c r="M41" s="0" t="inlineStr">
        <is>
          <t xml:space="preserve">DISTRIBUTION</t>
        </is>
      </c>
    </row>
    <row r="42">
      <c r="A42" s="0" t="inlineStr">
        <is>
          <t xml:space="preserve">VG-003</t>
        </is>
      </c>
      <c r="B42" s="23">
        <v>11</v>
      </c>
      <c r="C42" s="9">
        <v>2476318177.2723484</v>
      </c>
      <c r="D42" s="9">
        <v>0</v>
      </c>
      <c r="E42" s="9">
        <v>835721301.9517621</v>
      </c>
      <c r="F42" s="9">
        <v>0</v>
      </c>
      <c r="G42" s="9">
        <v>0</v>
      </c>
      <c r="H42" s="9">
        <v>2476318177.2723484</v>
      </c>
      <c r="I42" s="9">
        <v>0</v>
      </c>
      <c r="J42" s="9">
        <v>835721301.9517621</v>
      </c>
      <c r="K42" s="9">
        <v>0</v>
      </c>
      <c r="L42" s="0" t="inlineStr">
        <is>
          <t xml:space="preserve">ZERO_RESIDUAL_NO_SALE</t>
        </is>
      </c>
      <c r="M42" s="0" t="inlineStr">
        <is>
          <t xml:space="preserve">DISTRIBUTION</t>
        </is>
      </c>
    </row>
    <row r="43">
      <c r="A43" s="0" t="inlineStr">
        <is>
          <t xml:space="preserve">VG-003</t>
        </is>
      </c>
      <c r="B43" s="23">
        <v>12</v>
      </c>
      <c r="C43" s="9">
        <v>2481051564.0254426</v>
      </c>
      <c r="D43" s="9">
        <v>0</v>
      </c>
      <c r="E43" s="9">
        <v>835721301.9517621</v>
      </c>
      <c r="F43" s="9">
        <v>0</v>
      </c>
      <c r="G43" s="9">
        <v>0</v>
      </c>
      <c r="H43" s="9">
        <v>2481051564.0254426</v>
      </c>
      <c r="I43" s="9">
        <v>0</v>
      </c>
      <c r="J43" s="9">
        <v>835721301.9517621</v>
      </c>
      <c r="K43" s="9">
        <v>0</v>
      </c>
      <c r="L43" s="0" t="inlineStr">
        <is>
          <t xml:space="preserve">ZERO_RESIDUAL_NO_SALE</t>
        </is>
      </c>
      <c r="M43" s="0" t="inlineStr">
        <is>
          <t xml:space="preserve">DISTRIBUTION</t>
        </is>
      </c>
    </row>
    <row r="44">
      <c r="A44" s="0" t="inlineStr">
        <is>
          <t xml:space="preserve">VG-003</t>
        </is>
      </c>
      <c r="B44" s="23">
        <v>13</v>
      </c>
      <c r="C44" s="9">
        <v>2485687298.327226</v>
      </c>
      <c r="D44" s="9">
        <v>0</v>
      </c>
      <c r="E44" s="9">
        <v>835721301.9517621</v>
      </c>
      <c r="F44" s="9">
        <v>0</v>
      </c>
      <c r="G44" s="9">
        <v>0</v>
      </c>
      <c r="H44" s="9">
        <v>2485687298.327226</v>
      </c>
      <c r="I44" s="9">
        <v>0</v>
      </c>
      <c r="J44" s="9">
        <v>835721301.9517621</v>
      </c>
      <c r="K44" s="9">
        <v>0</v>
      </c>
      <c r="L44" s="0" t="inlineStr">
        <is>
          <t xml:space="preserve">ZERO_RESIDUAL_NO_SALE</t>
        </is>
      </c>
      <c r="M44" s="0" t="inlineStr">
        <is>
          <t xml:space="preserve">DISTRIBUTION</t>
        </is>
      </c>
    </row>
    <row r="45">
      <c r="A45" s="0" t="inlineStr">
        <is>
          <t xml:space="preserve">VG-003</t>
        </is>
      </c>
      <c r="B45" s="23">
        <v>14</v>
      </c>
      <c r="C45" s="9">
        <v>2490222475.143752</v>
      </c>
      <c r="D45" s="9">
        <v>0</v>
      </c>
      <c r="E45" s="9">
        <v>835721301.9517621</v>
      </c>
      <c r="F45" s="9">
        <v>0</v>
      </c>
      <c r="G45" s="9">
        <v>0</v>
      </c>
      <c r="H45" s="9">
        <v>2490222475.143752</v>
      </c>
      <c r="I45" s="9">
        <v>0</v>
      </c>
      <c r="J45" s="9">
        <v>835721301.9517621</v>
      </c>
      <c r="K45" s="9">
        <v>0</v>
      </c>
      <c r="L45" s="0" t="inlineStr">
        <is>
          <t xml:space="preserve">ZERO_RESIDUAL_NO_SALE</t>
        </is>
      </c>
      <c r="M45" s="0" t="inlineStr">
        <is>
          <t xml:space="preserve">DISTRIBUTION</t>
        </is>
      </c>
    </row>
    <row r="46">
      <c r="A46" s="0" t="inlineStr">
        <is>
          <t xml:space="preserve">VG-003</t>
        </is>
      </c>
      <c r="B46" s="23">
        <v>15</v>
      </c>
      <c r="C46" s="9">
        <v>2765311103.70929</v>
      </c>
      <c r="D46" s="9">
        <v>0</v>
      </c>
      <c r="E46" s="9">
        <v>835721301.9517621</v>
      </c>
      <c r="F46" s="9">
        <v>0</v>
      </c>
      <c r="G46" s="9">
        <v>0</v>
      </c>
      <c r="H46" s="9">
        <v>2765311103.70929</v>
      </c>
      <c r="I46" s="9">
        <v>835721301.9517621</v>
      </c>
      <c r="J46" s="9">
        <v>0</v>
      </c>
      <c r="K46" s="9">
        <v>0</v>
      </c>
      <c r="L46" s="0" t="inlineStr">
        <is>
          <t xml:space="preserve">ZERO_RESIDUAL_NO_SALE</t>
        </is>
      </c>
      <c r="M46" s="0" t="inlineStr">
        <is>
          <t xml:space="preserve">RELEASE</t>
        </is>
      </c>
    </row>
    <row r="47">
      <c r="A47" s="0" t="inlineStr">
        <is>
          <t xml:space="preserve">VG-004</t>
        </is>
      </c>
      <c r="B47" s="23">
        <v>1</v>
      </c>
      <c r="C47" s="9">
        <v>2968632602.8760204</v>
      </c>
      <c r="D47" s="9">
        <v>2283563540.673862</v>
      </c>
      <c r="E47" s="9">
        <v>0</v>
      </c>
      <c r="F47" s="9">
        <v>1141781770.336931</v>
      </c>
      <c r="G47" s="9">
        <v>0</v>
      </c>
      <c r="H47" s="9">
        <v>685069062.2021585</v>
      </c>
      <c r="I47" s="9">
        <v>0</v>
      </c>
      <c r="J47" s="9">
        <v>1141781770.336931</v>
      </c>
      <c r="K47" s="9">
        <v>0</v>
      </c>
      <c r="L47" s="0" t="inlineStr">
        <is>
          <t xml:space="preserve">ZERO_RESIDUAL_NO_SALE</t>
        </is>
      </c>
      <c r="M47" s="0" t="inlineStr">
        <is>
          <t xml:space="preserve">DISTRIBUTION</t>
        </is>
      </c>
    </row>
    <row r="48">
      <c r="A48" s="0" t="inlineStr">
        <is>
          <t xml:space="preserve">VG-004</t>
        </is>
      </c>
      <c r="B48" s="23">
        <v>2</v>
      </c>
      <c r="C48" s="9">
        <v>3319740080.39339</v>
      </c>
      <c r="D48" s="9">
        <v>2553646215.687223</v>
      </c>
      <c r="E48" s="9">
        <v>1141781770.336931</v>
      </c>
      <c r="F48" s="9">
        <v>0</v>
      </c>
      <c r="G48" s="9">
        <v>0</v>
      </c>
      <c r="H48" s="9">
        <v>766093864.7061672</v>
      </c>
      <c r="I48" s="9">
        <v>0</v>
      </c>
      <c r="J48" s="9">
        <v>1141781770.336931</v>
      </c>
      <c r="K48" s="9">
        <v>0</v>
      </c>
      <c r="L48" s="0" t="inlineStr">
        <is>
          <t xml:space="preserve">ZERO_RESIDUAL_NO_SALE</t>
        </is>
      </c>
      <c r="M48" s="0" t="inlineStr">
        <is>
          <t xml:space="preserve">DISTRIBUTION</t>
        </is>
      </c>
    </row>
    <row r="49">
      <c r="A49" s="0" t="inlineStr">
        <is>
          <t xml:space="preserve">VG-004</t>
        </is>
      </c>
      <c r="B49" s="23">
        <v>3</v>
      </c>
      <c r="C49" s="9">
        <v>3327557048.760088</v>
      </c>
      <c r="D49" s="9">
        <v>2559659268.276991</v>
      </c>
      <c r="E49" s="9">
        <v>1141781770.336931</v>
      </c>
      <c r="F49" s="9">
        <v>0</v>
      </c>
      <c r="G49" s="9">
        <v>0</v>
      </c>
      <c r="H49" s="9">
        <v>767897780.4830971</v>
      </c>
      <c r="I49" s="9">
        <v>0</v>
      </c>
      <c r="J49" s="9">
        <v>1141781770.336931</v>
      </c>
      <c r="K49" s="9">
        <v>0</v>
      </c>
      <c r="L49" s="0" t="inlineStr">
        <is>
          <t xml:space="preserve">ZERO_RESIDUAL_NO_SALE</t>
        </is>
      </c>
      <c r="M49" s="0" t="inlineStr">
        <is>
          <t xml:space="preserve">DISTRIBUTION</t>
        </is>
      </c>
    </row>
    <row r="50">
      <c r="A50" s="0" t="inlineStr">
        <is>
          <t xml:space="preserve">VG-004</t>
        </is>
      </c>
      <c r="B50" s="23">
        <v>4</v>
      </c>
      <c r="C50" s="9">
        <v>3335279157.4202003</v>
      </c>
      <c r="D50" s="9">
        <v>2565599351.8616924</v>
      </c>
      <c r="E50" s="9">
        <v>1141781770.336931</v>
      </c>
      <c r="F50" s="9">
        <v>0</v>
      </c>
      <c r="G50" s="9">
        <v>0</v>
      </c>
      <c r="H50" s="9">
        <v>769679805.5585079</v>
      </c>
      <c r="I50" s="9">
        <v>0</v>
      </c>
      <c r="J50" s="9">
        <v>1141781770.336931</v>
      </c>
      <c r="K50" s="9">
        <v>0</v>
      </c>
      <c r="L50" s="0" t="inlineStr">
        <is>
          <t xml:space="preserve">ZERO_RESIDUAL_NO_SALE</t>
        </is>
      </c>
      <c r="M50" s="0" t="inlineStr">
        <is>
          <t xml:space="preserve">DISTRIBUTION</t>
        </is>
      </c>
    </row>
    <row r="51">
      <c r="A51" s="0" t="inlineStr">
        <is>
          <t xml:space="preserve">VG-004</t>
        </is>
      </c>
      <c r="B51" s="23">
        <v>5</v>
      </c>
      <c r="C51" s="9">
        <v>3196080536.1040287</v>
      </c>
      <c r="D51" s="9">
        <v>2458523489.310791</v>
      </c>
      <c r="E51" s="9">
        <v>1141781770.336931</v>
      </c>
      <c r="F51" s="9">
        <v>0</v>
      </c>
      <c r="G51" s="9">
        <v>0</v>
      </c>
      <c r="H51" s="9">
        <v>737557046.7932377</v>
      </c>
      <c r="I51" s="9">
        <v>0</v>
      </c>
      <c r="J51" s="9">
        <v>1141781770.336931</v>
      </c>
      <c r="K51" s="9">
        <v>0</v>
      </c>
      <c r="L51" s="0" t="inlineStr">
        <is>
          <t xml:space="preserve">ZERO_RESIDUAL_NO_SALE</t>
        </is>
      </c>
      <c r="M51" s="0" t="inlineStr">
        <is>
          <t xml:space="preserve">DISTRIBUTION</t>
        </is>
      </c>
    </row>
    <row r="52">
      <c r="A52" s="0" t="inlineStr">
        <is>
          <t xml:space="preserve">VG-004</t>
        </is>
      </c>
      <c r="B52" s="23">
        <v>6</v>
      </c>
      <c r="C52" s="9">
        <v>3350426164.1348844</v>
      </c>
      <c r="D52" s="9">
        <v>2577250895.4883723</v>
      </c>
      <c r="E52" s="9">
        <v>1141781770.336931</v>
      </c>
      <c r="F52" s="9">
        <v>0</v>
      </c>
      <c r="G52" s="9">
        <v>0</v>
      </c>
      <c r="H52" s="9">
        <v>773175268.646512</v>
      </c>
      <c r="I52" s="9">
        <v>0</v>
      </c>
      <c r="J52" s="9">
        <v>1141781770.336931</v>
      </c>
      <c r="K52" s="9">
        <v>0</v>
      </c>
      <c r="L52" s="0" t="inlineStr">
        <is>
          <t xml:space="preserve">ZERO_RESIDUAL_NO_SALE</t>
        </is>
      </c>
      <c r="M52" s="0" t="inlineStr">
        <is>
          <t xml:space="preserve">DISTRIBUTION</t>
        </is>
      </c>
    </row>
    <row r="53">
      <c r="A53" s="0" t="inlineStr">
        <is>
          <t xml:space="preserve">VG-004</t>
        </is>
      </c>
      <c r="B53" s="23">
        <v>7</v>
      </c>
      <c r="C53" s="9">
        <v>3357844572.617752</v>
      </c>
      <c r="D53" s="9">
        <v>2582957363.552117</v>
      </c>
      <c r="E53" s="9">
        <v>1141781770.336931</v>
      </c>
      <c r="F53" s="9">
        <v>0</v>
      </c>
      <c r="G53" s="9">
        <v>0</v>
      </c>
      <c r="H53" s="9">
        <v>774887209.0656352</v>
      </c>
      <c r="I53" s="9">
        <v>0</v>
      </c>
      <c r="J53" s="9">
        <v>1141781770.336931</v>
      </c>
      <c r="K53" s="9">
        <v>0</v>
      </c>
      <c r="L53" s="0" t="inlineStr">
        <is>
          <t xml:space="preserve">ZERO_RESIDUAL_NO_SALE</t>
        </is>
      </c>
      <c r="M53" s="0" t="inlineStr">
        <is>
          <t xml:space="preserve">DISTRIBUTION</t>
        </is>
      </c>
    </row>
    <row r="54">
      <c r="A54" s="0" t="inlineStr">
        <is>
          <t xml:space="preserve">VG-004</t>
        </is>
      </c>
      <c r="B54" s="23">
        <v>8</v>
      </c>
      <c r="C54" s="9">
        <v>3365155139.402643</v>
      </c>
      <c r="D54" s="9">
        <v>2588580876.4635715</v>
      </c>
      <c r="E54" s="9">
        <v>1141781770.336931</v>
      </c>
      <c r="F54" s="9">
        <v>0</v>
      </c>
      <c r="G54" s="9">
        <v>0</v>
      </c>
      <c r="H54" s="9">
        <v>776574262.9390717</v>
      </c>
      <c r="I54" s="9">
        <v>0</v>
      </c>
      <c r="J54" s="9">
        <v>1141781770.336931</v>
      </c>
      <c r="K54" s="9">
        <v>0</v>
      </c>
      <c r="L54" s="0" t="inlineStr">
        <is>
          <t xml:space="preserve">ZERO_RESIDUAL_NO_SALE</t>
        </is>
      </c>
      <c r="M54" s="0" t="inlineStr">
        <is>
          <t xml:space="preserve">DISTRIBUTION</t>
        </is>
      </c>
    </row>
    <row r="55">
      <c r="A55" s="0" t="inlineStr">
        <is>
          <t xml:space="preserve">VG-004</t>
        </is>
      </c>
      <c r="B55" s="23">
        <v>9</v>
      </c>
      <c r="C55" s="9">
        <v>3372354439.4167533</v>
      </c>
      <c r="D55" s="9">
        <v>2594118799.5513487</v>
      </c>
      <c r="E55" s="9">
        <v>1141781770.336931</v>
      </c>
      <c r="F55" s="9">
        <v>0</v>
      </c>
      <c r="G55" s="9">
        <v>0</v>
      </c>
      <c r="H55" s="9">
        <v>778235639.8654046</v>
      </c>
      <c r="I55" s="9">
        <v>0</v>
      </c>
      <c r="J55" s="9">
        <v>1141781770.336931</v>
      </c>
      <c r="K55" s="9">
        <v>0</v>
      </c>
      <c r="L55" s="0" t="inlineStr">
        <is>
          <t xml:space="preserve">ZERO_RESIDUAL_NO_SALE</t>
        </is>
      </c>
      <c r="M55" s="0" t="inlineStr">
        <is>
          <t xml:space="preserve">DISTRIBUTION</t>
        </is>
      </c>
    </row>
    <row r="56">
      <c r="A56" s="0" t="inlineStr">
        <is>
          <t xml:space="preserve">VG-004</t>
        </is>
      </c>
      <c r="B56" s="23">
        <v>10</v>
      </c>
      <c r="C56" s="9">
        <v>3232616243.1678877</v>
      </c>
      <c r="D56" s="9">
        <v>1105292063.5069509</v>
      </c>
      <c r="E56" s="9">
        <v>1141781770.336931</v>
      </c>
      <c r="F56" s="9">
        <v>0</v>
      </c>
      <c r="G56" s="9">
        <v>0</v>
      </c>
      <c r="H56" s="9">
        <v>2127324179.6609368</v>
      </c>
      <c r="I56" s="9">
        <v>0</v>
      </c>
      <c r="J56" s="9">
        <v>1141781770.336931</v>
      </c>
      <c r="K56" s="9">
        <v>0</v>
      </c>
      <c r="L56" s="0" t="inlineStr">
        <is>
          <t xml:space="preserve">ZERO_RESIDUAL_NO_SALE</t>
        </is>
      </c>
      <c r="M56" s="0" t="inlineStr">
        <is>
          <t xml:space="preserve">DISTRIBUTION</t>
        </is>
      </c>
    </row>
    <row r="57">
      <c r="A57" s="0" t="inlineStr">
        <is>
          <t xml:space="preserve">VG-004</t>
        </is>
      </c>
      <c r="B57" s="23">
        <v>11</v>
      </c>
      <c r="C57" s="9">
        <v>3386405163.4185605</v>
      </c>
      <c r="D57" s="9">
        <v>0</v>
      </c>
      <c r="E57" s="9">
        <v>1141781770.336931</v>
      </c>
      <c r="F57" s="9">
        <v>0</v>
      </c>
      <c r="G57" s="9">
        <v>0</v>
      </c>
      <c r="H57" s="9">
        <v>3386405163.4185605</v>
      </c>
      <c r="I57" s="9">
        <v>0</v>
      </c>
      <c r="J57" s="9">
        <v>1141781770.336931</v>
      </c>
      <c r="K57" s="9">
        <v>0</v>
      </c>
      <c r="L57" s="0" t="inlineStr">
        <is>
          <t xml:space="preserve">ZERO_RESIDUAL_NO_SALE</t>
        </is>
      </c>
      <c r="M57" s="0" t="inlineStr">
        <is>
          <t xml:space="preserve">DISTRIBUTION</t>
        </is>
      </c>
    </row>
    <row r="58">
      <c r="A58" s="0" t="inlineStr">
        <is>
          <t xml:space="preserve">VG-004</t>
        </is>
      </c>
      <c r="B58" s="23">
        <v>12</v>
      </c>
      <c r="C58" s="9">
        <v>3393249357.227132</v>
      </c>
      <c r="D58" s="9">
        <v>0</v>
      </c>
      <c r="E58" s="9">
        <v>1141781770.336931</v>
      </c>
      <c r="F58" s="9">
        <v>0</v>
      </c>
      <c r="G58" s="9">
        <v>0</v>
      </c>
      <c r="H58" s="9">
        <v>3393249357.227132</v>
      </c>
      <c r="I58" s="9">
        <v>0</v>
      </c>
      <c r="J58" s="9">
        <v>1141781770.336931</v>
      </c>
      <c r="K58" s="9">
        <v>0</v>
      </c>
      <c r="L58" s="0" t="inlineStr">
        <is>
          <t xml:space="preserve">ZERO_RESIDUAL_NO_SALE</t>
        </is>
      </c>
      <c r="M58" s="0" t="inlineStr">
        <is>
          <t xml:space="preserve">DISTRIBUTION</t>
        </is>
      </c>
    </row>
    <row r="59">
      <c r="A59" s="0" t="inlineStr">
        <is>
          <t xml:space="preserve">VG-004</t>
        </is>
      </c>
      <c r="B59" s="23">
        <v>13</v>
      </c>
      <c r="C59" s="9">
        <v>3399967820.7606745</v>
      </c>
      <c r="D59" s="9">
        <v>0</v>
      </c>
      <c r="E59" s="9">
        <v>1141781770.336931</v>
      </c>
      <c r="F59" s="9">
        <v>0</v>
      </c>
      <c r="G59" s="9">
        <v>0</v>
      </c>
      <c r="H59" s="9">
        <v>3399967820.7606745</v>
      </c>
      <c r="I59" s="9">
        <v>0</v>
      </c>
      <c r="J59" s="9">
        <v>1141781770.336931</v>
      </c>
      <c r="K59" s="9">
        <v>0</v>
      </c>
      <c r="L59" s="0" t="inlineStr">
        <is>
          <t xml:space="preserve">ZERO_RESIDUAL_NO_SALE</t>
        </is>
      </c>
      <c r="M59" s="0" t="inlineStr">
        <is>
          <t xml:space="preserve">DISTRIBUTION</t>
        </is>
      </c>
    </row>
    <row r="60">
      <c r="A60" s="0" t="inlineStr">
        <is>
          <t xml:space="preserve">VG-004</t>
        </is>
      </c>
      <c r="B60" s="23">
        <v>14</v>
      </c>
      <c r="C60" s="9">
        <v>3406556739.473637</v>
      </c>
      <c r="D60" s="9">
        <v>0</v>
      </c>
      <c r="E60" s="9">
        <v>1141781770.336931</v>
      </c>
      <c r="F60" s="9">
        <v>0</v>
      </c>
      <c r="G60" s="9">
        <v>0</v>
      </c>
      <c r="H60" s="9">
        <v>3406556739.473637</v>
      </c>
      <c r="I60" s="9">
        <v>0</v>
      </c>
      <c r="J60" s="9">
        <v>1141781770.336931</v>
      </c>
      <c r="K60" s="9">
        <v>0</v>
      </c>
      <c r="L60" s="0" t="inlineStr">
        <is>
          <t xml:space="preserve">ZERO_RESIDUAL_NO_SALE</t>
        </is>
      </c>
      <c r="M60" s="0" t="inlineStr">
        <is>
          <t xml:space="preserve">DISTRIBUTION</t>
        </is>
      </c>
    </row>
    <row r="61">
      <c r="A61" s="0" t="inlineStr">
        <is>
          <t xml:space="preserve">VG-004</t>
        </is>
      </c>
      <c r="B61" s="23">
        <v>15</v>
      </c>
      <c r="C61" s="9">
        <v>3782595636.5543103</v>
      </c>
      <c r="D61" s="9">
        <v>0</v>
      </c>
      <c r="E61" s="9">
        <v>1141781770.336931</v>
      </c>
      <c r="F61" s="9">
        <v>0</v>
      </c>
      <c r="G61" s="9">
        <v>0</v>
      </c>
      <c r="H61" s="9">
        <v>3782595636.5543103</v>
      </c>
      <c r="I61" s="9">
        <v>1141781770.336931</v>
      </c>
      <c r="J61" s="9">
        <v>0</v>
      </c>
      <c r="K61" s="9">
        <v>0</v>
      </c>
      <c r="L61" s="0" t="inlineStr">
        <is>
          <t xml:space="preserve">ZERO_RESIDUAL_NO_SALE</t>
        </is>
      </c>
      <c r="M61" s="0" t="inlineStr">
        <is>
          <t xml:space="preserve">RELEASE</t>
        </is>
      </c>
    </row>
    <row r="62">
      <c r="A62" s="0" t="inlineStr">
        <is>
          <t xml:space="preserve">VG-005</t>
        </is>
      </c>
      <c r="B62" s="23">
        <v>1</v>
      </c>
      <c r="C62" s="9">
        <v>2813669753.401412</v>
      </c>
      <c r="D62" s="9">
        <v>2164361348.770317</v>
      </c>
      <c r="E62" s="9">
        <v>0</v>
      </c>
      <c r="F62" s="9">
        <v>1082180674.3851585</v>
      </c>
      <c r="G62" s="9">
        <v>0</v>
      </c>
      <c r="H62" s="9">
        <v>649308404.6310949</v>
      </c>
      <c r="I62" s="9">
        <v>0</v>
      </c>
      <c r="J62" s="9">
        <v>1082180674.3851585</v>
      </c>
      <c r="K62" s="9">
        <v>0</v>
      </c>
      <c r="L62" s="0" t="inlineStr">
        <is>
          <t xml:space="preserve">ZERO_RESIDUAL_NO_SALE</t>
        </is>
      </c>
      <c r="M62" s="0" t="inlineStr">
        <is>
          <t xml:space="preserve">DISTRIBUTION</t>
        </is>
      </c>
    </row>
    <row r="63">
      <c r="A63" s="0" t="inlineStr">
        <is>
          <t xml:space="preserve">VG-005</t>
        </is>
      </c>
      <c r="B63" s="23">
        <v>2</v>
      </c>
      <c r="C63" s="9">
        <v>3146870985.286913</v>
      </c>
      <c r="D63" s="9">
        <v>2420669988.6822405</v>
      </c>
      <c r="E63" s="9">
        <v>1082180674.3851585</v>
      </c>
      <c r="F63" s="9">
        <v>0</v>
      </c>
      <c r="G63" s="9">
        <v>0</v>
      </c>
      <c r="H63" s="9">
        <v>726200996.6046724</v>
      </c>
      <c r="I63" s="9">
        <v>0</v>
      </c>
      <c r="J63" s="9">
        <v>1082180674.3851585</v>
      </c>
      <c r="K63" s="9">
        <v>0</v>
      </c>
      <c r="L63" s="0" t="inlineStr">
        <is>
          <t xml:space="preserve">ZERO_RESIDUAL_NO_SALE</t>
        </is>
      </c>
      <c r="M63" s="0" t="inlineStr">
        <is>
          <t xml:space="preserve">DISTRIBUTION</t>
        </is>
      </c>
    </row>
    <row r="64">
      <c r="A64" s="0" t="inlineStr">
        <is>
          <t xml:space="preserve">VG-005</t>
        </is>
      </c>
      <c r="B64" s="23">
        <v>3</v>
      </c>
      <c r="C64" s="9">
        <v>3155317724.914084</v>
      </c>
      <c r="D64" s="9">
        <v>2427167480.703141</v>
      </c>
      <c r="E64" s="9">
        <v>1082180674.3851585</v>
      </c>
      <c r="F64" s="9">
        <v>0</v>
      </c>
      <c r="G64" s="9">
        <v>0</v>
      </c>
      <c r="H64" s="9">
        <v>728150244.2109427</v>
      </c>
      <c r="I64" s="9">
        <v>0</v>
      </c>
      <c r="J64" s="9">
        <v>1082180674.3851585</v>
      </c>
      <c r="K64" s="9">
        <v>0</v>
      </c>
      <c r="L64" s="0" t="inlineStr">
        <is>
          <t xml:space="preserve">ZERO_RESIDUAL_NO_SALE</t>
        </is>
      </c>
      <c r="M64" s="0" t="inlineStr">
        <is>
          <t xml:space="preserve">DISTRIBUTION</t>
        </is>
      </c>
    </row>
    <row r="65">
      <c r="A65" s="0" t="inlineStr">
        <is>
          <t xml:space="preserve">VG-005</t>
        </is>
      </c>
      <c r="B65" s="23">
        <v>4</v>
      </c>
      <c r="C65" s="9">
        <v>3163695748.702409</v>
      </c>
      <c r="D65" s="9">
        <v>2433612114.3864684</v>
      </c>
      <c r="E65" s="9">
        <v>1082180674.3851585</v>
      </c>
      <c r="F65" s="9">
        <v>0</v>
      </c>
      <c r="G65" s="9">
        <v>0</v>
      </c>
      <c r="H65" s="9">
        <v>730083634.3159404</v>
      </c>
      <c r="I65" s="9">
        <v>0</v>
      </c>
      <c r="J65" s="9">
        <v>1082180674.3851585</v>
      </c>
      <c r="K65" s="9">
        <v>0</v>
      </c>
      <c r="L65" s="0" t="inlineStr">
        <is>
          <t xml:space="preserve">ZERO_RESIDUAL_NO_SALE</t>
        </is>
      </c>
      <c r="M65" s="0" t="inlineStr">
        <is>
          <t xml:space="preserve">DISTRIBUTION</t>
        </is>
      </c>
    </row>
    <row r="66">
      <c r="A66" s="0" t="inlineStr">
        <is>
          <t xml:space="preserve">VG-005</t>
        </is>
      </c>
      <c r="B66" s="23">
        <v>5</v>
      </c>
      <c r="C66" s="9">
        <v>3050494040.0553946</v>
      </c>
      <c r="D66" s="9">
        <v>2346533876.965688</v>
      </c>
      <c r="E66" s="9">
        <v>1082180674.3851585</v>
      </c>
      <c r="F66" s="9">
        <v>0</v>
      </c>
      <c r="G66" s="9">
        <v>0</v>
      </c>
      <c r="H66" s="9">
        <v>703960163.0897064</v>
      </c>
      <c r="I66" s="9">
        <v>0</v>
      </c>
      <c r="J66" s="9">
        <v>1082180674.3851585</v>
      </c>
      <c r="K66" s="9">
        <v>0</v>
      </c>
      <c r="L66" s="0" t="inlineStr">
        <is>
          <t xml:space="preserve">ZERO_RESIDUAL_NO_SALE</t>
        </is>
      </c>
      <c r="M66" s="0" t="inlineStr">
        <is>
          <t xml:space="preserve">DISTRIBUTION</t>
        </is>
      </c>
    </row>
    <row r="67">
      <c r="A67" s="0" t="inlineStr">
        <is>
          <t xml:space="preserve">VG-005</t>
        </is>
      </c>
      <c r="B67" s="23">
        <v>6</v>
      </c>
      <c r="C67" s="9">
        <v>3180235389.17613</v>
      </c>
      <c r="D67" s="9">
        <v>2446334914.750869</v>
      </c>
      <c r="E67" s="9">
        <v>1082180674.3851585</v>
      </c>
      <c r="F67" s="9">
        <v>0</v>
      </c>
      <c r="G67" s="9">
        <v>0</v>
      </c>
      <c r="H67" s="9">
        <v>733900474.425261</v>
      </c>
      <c r="I67" s="9">
        <v>0</v>
      </c>
      <c r="J67" s="9">
        <v>1082180674.3851585</v>
      </c>
      <c r="K67" s="9">
        <v>0</v>
      </c>
      <c r="L67" s="0" t="inlineStr">
        <is>
          <t xml:space="preserve">ZERO_RESIDUAL_NO_SALE</t>
        </is>
      </c>
      <c r="M67" s="0" t="inlineStr">
        <is>
          <t xml:space="preserve">DISTRIBUTION</t>
        </is>
      </c>
    </row>
    <row r="68">
      <c r="A68" s="0" t="inlineStr">
        <is>
          <t xml:space="preserve">VG-005</t>
        </is>
      </c>
      <c r="B68" s="23">
        <v>7</v>
      </c>
      <c r="C68" s="9">
        <v>3188391732.810814</v>
      </c>
      <c r="D68" s="9">
        <v>2452609025.2390876</v>
      </c>
      <c r="E68" s="9">
        <v>1082180674.3851585</v>
      </c>
      <c r="F68" s="9">
        <v>0</v>
      </c>
      <c r="G68" s="9">
        <v>0</v>
      </c>
      <c r="H68" s="9">
        <v>735782707.5717263</v>
      </c>
      <c r="I68" s="9">
        <v>0</v>
      </c>
      <c r="J68" s="9">
        <v>1082180674.3851585</v>
      </c>
      <c r="K68" s="9">
        <v>0</v>
      </c>
      <c r="L68" s="0" t="inlineStr">
        <is>
          <t xml:space="preserve">ZERO_RESIDUAL_NO_SALE</t>
        </is>
      </c>
      <c r="M68" s="0" t="inlineStr">
        <is>
          <t xml:space="preserve">DISTRIBUTION</t>
        </is>
      </c>
    </row>
    <row r="69">
      <c r="A69" s="0" t="inlineStr">
        <is>
          <t xml:space="preserve">VG-005</t>
        </is>
      </c>
      <c r="B69" s="23">
        <v>8</v>
      </c>
      <c r="C69" s="9">
        <v>3196468812.1506553</v>
      </c>
      <c r="D69" s="9">
        <v>2458822163.1928115</v>
      </c>
      <c r="E69" s="9">
        <v>1082180674.3851585</v>
      </c>
      <c r="F69" s="9">
        <v>0</v>
      </c>
      <c r="G69" s="9">
        <v>0</v>
      </c>
      <c r="H69" s="9">
        <v>737646648.9578438</v>
      </c>
      <c r="I69" s="9">
        <v>0</v>
      </c>
      <c r="J69" s="9">
        <v>1082180674.3851585</v>
      </c>
      <c r="K69" s="9">
        <v>0</v>
      </c>
      <c r="L69" s="0" t="inlineStr">
        <is>
          <t xml:space="preserve">ZERO_RESIDUAL_NO_SALE</t>
        </is>
      </c>
      <c r="M69" s="0" t="inlineStr">
        <is>
          <t xml:space="preserve">DISTRIBUTION</t>
        </is>
      </c>
    </row>
    <row r="70">
      <c r="A70" s="0" t="inlineStr">
        <is>
          <t xml:space="preserve">VG-005</t>
        </is>
      </c>
      <c r="B70" s="23">
        <v>9</v>
      </c>
      <c r="C70" s="9">
        <v>3204463842.073477</v>
      </c>
      <c r="D70" s="9">
        <v>2464972186.2103667</v>
      </c>
      <c r="E70" s="9">
        <v>1082180674.3851585</v>
      </c>
      <c r="F70" s="9">
        <v>0</v>
      </c>
      <c r="G70" s="9">
        <v>0</v>
      </c>
      <c r="H70" s="9">
        <v>739491655.8631101</v>
      </c>
      <c r="I70" s="9">
        <v>0</v>
      </c>
      <c r="J70" s="9">
        <v>1082180674.3851585</v>
      </c>
      <c r="K70" s="9">
        <v>0</v>
      </c>
      <c r="L70" s="0" t="inlineStr">
        <is>
          <t xml:space="preserve">ZERO_RESIDUAL_NO_SALE</t>
        </is>
      </c>
      <c r="M70" s="0" t="inlineStr">
        <is>
          <t xml:space="preserve">DISTRIBUTION</t>
        </is>
      </c>
    </row>
    <row r="71">
      <c r="A71" s="0" t="inlineStr">
        <is>
          <t xml:space="preserve">VG-005</t>
        </is>
      </c>
      <c r="B71" s="23">
        <v>10</v>
      </c>
      <c r="C71" s="9">
        <v>3090865509.9063787</v>
      </c>
      <c r="D71" s="9">
        <v>1065582404.0132053</v>
      </c>
      <c r="E71" s="9">
        <v>1082180674.3851585</v>
      </c>
      <c r="F71" s="9">
        <v>0</v>
      </c>
      <c r="G71" s="9">
        <v>0</v>
      </c>
      <c r="H71" s="9">
        <v>2025283105.8931735</v>
      </c>
      <c r="I71" s="9">
        <v>0</v>
      </c>
      <c r="J71" s="9">
        <v>1082180674.3851585</v>
      </c>
      <c r="K71" s="9">
        <v>0</v>
      </c>
      <c r="L71" s="0" t="inlineStr">
        <is>
          <t xml:space="preserve">ZERO_RESIDUAL_NO_SALE</t>
        </is>
      </c>
      <c r="M71" s="0" t="inlineStr">
        <is>
          <t xml:space="preserve">DISTRIBUTION</t>
        </is>
      </c>
    </row>
    <row r="72">
      <c r="A72" s="0" t="inlineStr">
        <is>
          <t xml:space="preserve">VG-005</t>
        </is>
      </c>
      <c r="B72" s="23">
        <v>11</v>
      </c>
      <c r="C72" s="9">
        <v>3220196303.708961</v>
      </c>
      <c r="D72" s="9">
        <v>0</v>
      </c>
      <c r="E72" s="9">
        <v>1082180674.3851585</v>
      </c>
      <c r="F72" s="9">
        <v>0</v>
      </c>
      <c r="G72" s="9">
        <v>0</v>
      </c>
      <c r="H72" s="9">
        <v>3220196303.708961</v>
      </c>
      <c r="I72" s="9">
        <v>0</v>
      </c>
      <c r="J72" s="9">
        <v>1082180674.3851585</v>
      </c>
      <c r="K72" s="9">
        <v>0</v>
      </c>
      <c r="L72" s="0" t="inlineStr">
        <is>
          <t xml:space="preserve">ZERO_RESIDUAL_NO_SALE</t>
        </is>
      </c>
      <c r="M72" s="0" t="inlineStr">
        <is>
          <t xml:space="preserve">DISTRIBUTION</t>
        </is>
      </c>
    </row>
    <row r="73">
      <c r="A73" s="0" t="inlineStr">
        <is>
          <t xml:space="preserve">VG-005</t>
        </is>
      </c>
      <c r="B73" s="23">
        <v>12</v>
      </c>
      <c r="C73" s="9">
        <v>3227927851.8947887</v>
      </c>
      <c r="D73" s="9">
        <v>0</v>
      </c>
      <c r="E73" s="9">
        <v>1082180674.3851585</v>
      </c>
      <c r="F73" s="9">
        <v>0</v>
      </c>
      <c r="G73" s="9">
        <v>0</v>
      </c>
      <c r="H73" s="9">
        <v>3227927851.8947887</v>
      </c>
      <c r="I73" s="9">
        <v>0</v>
      </c>
      <c r="J73" s="9">
        <v>1082180674.3851585</v>
      </c>
      <c r="K73" s="9">
        <v>0</v>
      </c>
      <c r="L73" s="0" t="inlineStr">
        <is>
          <t xml:space="preserve">ZERO_RESIDUAL_NO_SALE</t>
        </is>
      </c>
      <c r="M73" s="0" t="inlineStr">
        <is>
          <t xml:space="preserve">DISTRIBUTION</t>
        </is>
      </c>
    </row>
    <row r="74">
      <c r="A74" s="0" t="inlineStr">
        <is>
          <t xml:space="preserve">VG-005</t>
        </is>
      </c>
      <c r="B74" s="23">
        <v>13</v>
      </c>
      <c r="C74" s="9">
        <v>3235565581.0087857</v>
      </c>
      <c r="D74" s="9">
        <v>0</v>
      </c>
      <c r="E74" s="9">
        <v>1082180674.3851585</v>
      </c>
      <c r="F74" s="9">
        <v>0</v>
      </c>
      <c r="G74" s="9">
        <v>0</v>
      </c>
      <c r="H74" s="9">
        <v>3235565581.0087857</v>
      </c>
      <c r="I74" s="9">
        <v>0</v>
      </c>
      <c r="J74" s="9">
        <v>1082180674.3851585</v>
      </c>
      <c r="K74" s="9">
        <v>0</v>
      </c>
      <c r="L74" s="0" t="inlineStr">
        <is>
          <t xml:space="preserve">ZERO_RESIDUAL_NO_SALE</t>
        </is>
      </c>
      <c r="M74" s="0" t="inlineStr">
        <is>
          <t xml:space="preserve">DISTRIBUTION</t>
        </is>
      </c>
    </row>
    <row r="75">
      <c r="A75" s="0" t="inlineStr">
        <is>
          <t xml:space="preserve">VG-005</t>
        </is>
      </c>
      <c r="B75" s="23">
        <v>14</v>
      </c>
      <c r="C75" s="9">
        <v>3243106384.84184</v>
      </c>
      <c r="D75" s="9">
        <v>0</v>
      </c>
      <c r="E75" s="9">
        <v>1082180674.3851585</v>
      </c>
      <c r="F75" s="9">
        <v>0</v>
      </c>
      <c r="G75" s="9">
        <v>0</v>
      </c>
      <c r="H75" s="9">
        <v>3243106384.84184</v>
      </c>
      <c r="I75" s="9">
        <v>0</v>
      </c>
      <c r="J75" s="9">
        <v>1082180674.3851585</v>
      </c>
      <c r="K75" s="9">
        <v>0</v>
      </c>
      <c r="L75" s="0" t="inlineStr">
        <is>
          <t xml:space="preserve">ZERO_RESIDUAL_NO_SALE</t>
        </is>
      </c>
      <c r="M75" s="0" t="inlineStr">
        <is>
          <t xml:space="preserve">DISTRIBUTION</t>
        </is>
      </c>
    </row>
    <row r="76">
      <c r="A76" s="0" t="inlineStr">
        <is>
          <t xml:space="preserve">VG-005</t>
        </is>
      </c>
      <c r="B76" s="23">
        <v>15</v>
      </c>
      <c r="C76" s="9">
        <v>3600196997.521063</v>
      </c>
      <c r="D76" s="9">
        <v>0</v>
      </c>
      <c r="E76" s="9">
        <v>1082180674.3851585</v>
      </c>
      <c r="F76" s="9">
        <v>0</v>
      </c>
      <c r="G76" s="9">
        <v>0</v>
      </c>
      <c r="H76" s="9">
        <v>3600196997.521063</v>
      </c>
      <c r="I76" s="9">
        <v>1082180674.3851585</v>
      </c>
      <c r="J76" s="9">
        <v>0</v>
      </c>
      <c r="K76" s="9">
        <v>0</v>
      </c>
      <c r="L76" s="0" t="inlineStr">
        <is>
          <t xml:space="preserve">ZERO_RESIDUAL_NO_SALE</t>
        </is>
      </c>
      <c r="M76" s="0" t="inlineStr">
        <is>
          <t xml:space="preserve">RELEASE</t>
        </is>
      </c>
    </row>
    <row r="77">
      <c r="A77" s="0" t="inlineStr">
        <is>
          <t xml:space="preserve">VG-006</t>
        </is>
      </c>
      <c r="B77" s="23">
        <v>1</v>
      </c>
      <c r="C77" s="9">
        <v>2631777380.360316</v>
      </c>
      <c r="D77" s="9">
        <v>2024444138.7387044</v>
      </c>
      <c r="E77" s="9">
        <v>0</v>
      </c>
      <c r="F77" s="9">
        <v>1012222069.3693522</v>
      </c>
      <c r="G77" s="9">
        <v>0</v>
      </c>
      <c r="H77" s="9">
        <v>607333241.6216114</v>
      </c>
      <c r="I77" s="9">
        <v>0</v>
      </c>
      <c r="J77" s="9">
        <v>1012222069.3693522</v>
      </c>
      <c r="K77" s="9">
        <v>0</v>
      </c>
      <c r="L77" s="0" t="inlineStr">
        <is>
          <t xml:space="preserve">ZERO_RESIDUAL_NO_SALE</t>
        </is>
      </c>
      <c r="M77" s="0" t="inlineStr">
        <is>
          <t xml:space="preserve">DISTRIBUTION</t>
        </is>
      </c>
    </row>
    <row r="78">
      <c r="A78" s="0" t="inlineStr">
        <is>
          <t xml:space="preserve">VG-006</t>
        </is>
      </c>
      <c r="B78" s="23">
        <v>2</v>
      </c>
      <c r="C78" s="9">
        <v>2943250874.0403595</v>
      </c>
      <c r="D78" s="9">
        <v>2264039133.8771996</v>
      </c>
      <c r="E78" s="9">
        <v>1012222069.3693522</v>
      </c>
      <c r="F78" s="9">
        <v>0</v>
      </c>
      <c r="G78" s="9">
        <v>0</v>
      </c>
      <c r="H78" s="9">
        <v>679211740.1631598</v>
      </c>
      <c r="I78" s="9">
        <v>0</v>
      </c>
      <c r="J78" s="9">
        <v>1012222069.3693522</v>
      </c>
      <c r="K78" s="9">
        <v>0</v>
      </c>
      <c r="L78" s="0" t="inlineStr">
        <is>
          <t xml:space="preserve">ZERO_RESIDUAL_NO_SALE</t>
        </is>
      </c>
      <c r="M78" s="0" t="inlineStr">
        <is>
          <t xml:space="preserve">DISTRIBUTION</t>
        </is>
      </c>
    </row>
    <row r="79">
      <c r="A79" s="0" t="inlineStr">
        <is>
          <t xml:space="preserve">VG-006</t>
        </is>
      </c>
      <c r="B79" s="23">
        <v>3</v>
      </c>
      <c r="C79" s="9">
        <v>2950689694.11686</v>
      </c>
      <c r="D79" s="9">
        <v>2269761303.1668153</v>
      </c>
      <c r="E79" s="9">
        <v>1012222069.3693522</v>
      </c>
      <c r="F79" s="9">
        <v>0</v>
      </c>
      <c r="G79" s="9">
        <v>0</v>
      </c>
      <c r="H79" s="9">
        <v>680928390.9500446</v>
      </c>
      <c r="I79" s="9">
        <v>0</v>
      </c>
      <c r="J79" s="9">
        <v>1012222069.3693522</v>
      </c>
      <c r="K79" s="9">
        <v>0</v>
      </c>
      <c r="L79" s="0" t="inlineStr">
        <is>
          <t xml:space="preserve">ZERO_RESIDUAL_NO_SALE</t>
        </is>
      </c>
      <c r="M79" s="0" t="inlineStr">
        <is>
          <t xml:space="preserve">DISTRIBUTION</t>
        </is>
      </c>
    </row>
    <row r="80">
      <c r="A80" s="0" t="inlineStr">
        <is>
          <t xml:space="preserve">VG-006</t>
        </is>
      </c>
      <c r="B80" s="23">
        <v>4</v>
      </c>
      <c r="C80" s="9">
        <v>2958054809.1527386</v>
      </c>
      <c r="D80" s="9">
        <v>2275426776.2713375</v>
      </c>
      <c r="E80" s="9">
        <v>1012222069.3693522</v>
      </c>
      <c r="F80" s="9">
        <v>0</v>
      </c>
      <c r="G80" s="9">
        <v>0</v>
      </c>
      <c r="H80" s="9">
        <v>682628032.8814011</v>
      </c>
      <c r="I80" s="9">
        <v>0</v>
      </c>
      <c r="J80" s="9">
        <v>1012222069.3693522</v>
      </c>
      <c r="K80" s="9">
        <v>0</v>
      </c>
      <c r="L80" s="0" t="inlineStr">
        <is>
          <t xml:space="preserve">ZERO_RESIDUAL_NO_SALE</t>
        </is>
      </c>
      <c r="M80" s="0" t="inlineStr">
        <is>
          <t xml:space="preserve">DISTRIBUTION</t>
        </is>
      </c>
    </row>
    <row r="81">
      <c r="A81" s="0" t="inlineStr">
        <is>
          <t xml:space="preserve">VG-006</t>
        </is>
      </c>
      <c r="B81" s="23">
        <v>5</v>
      </c>
      <c r="C81" s="9">
        <v>2843835177.8549533</v>
      </c>
      <c r="D81" s="9">
        <v>2187565521.426887</v>
      </c>
      <c r="E81" s="9">
        <v>1012222069.3693522</v>
      </c>
      <c r="F81" s="9">
        <v>0</v>
      </c>
      <c r="G81" s="9">
        <v>0</v>
      </c>
      <c r="H81" s="9">
        <v>656269656.4280663</v>
      </c>
      <c r="I81" s="9">
        <v>0</v>
      </c>
      <c r="J81" s="9">
        <v>1012222069.3693522</v>
      </c>
      <c r="K81" s="9">
        <v>0</v>
      </c>
      <c r="L81" s="0" t="inlineStr">
        <is>
          <t xml:space="preserve">ZERO_RESIDUAL_NO_SALE</t>
        </is>
      </c>
      <c r="M81" s="0" t="inlineStr">
        <is>
          <t xml:space="preserve">DISTRIBUTION</t>
        </is>
      </c>
    </row>
    <row r="82">
      <c r="A82" s="0" t="inlineStr">
        <is>
          <t xml:space="preserve">VG-006</t>
        </is>
      </c>
      <c r="B82" s="23">
        <v>6</v>
      </c>
      <c r="C82" s="9">
        <v>2972553565.6077957</v>
      </c>
      <c r="D82" s="9">
        <v>2286579665.8521504</v>
      </c>
      <c r="E82" s="9">
        <v>1012222069.3693522</v>
      </c>
      <c r="F82" s="9">
        <v>0</v>
      </c>
      <c r="G82" s="9">
        <v>0</v>
      </c>
      <c r="H82" s="9">
        <v>685973899.7556453</v>
      </c>
      <c r="I82" s="9">
        <v>0</v>
      </c>
      <c r="J82" s="9">
        <v>1012222069.3693522</v>
      </c>
      <c r="K82" s="9">
        <v>0</v>
      </c>
      <c r="L82" s="0" t="inlineStr">
        <is>
          <t xml:space="preserve">ZERO_RESIDUAL_NO_SALE</t>
        </is>
      </c>
      <c r="M82" s="0" t="inlineStr">
        <is>
          <t xml:space="preserve">DISTRIBUTION</t>
        </is>
      </c>
    </row>
    <row r="83">
      <c r="A83" s="0" t="inlineStr">
        <is>
          <t xml:space="preserve">VG-006</t>
        </is>
      </c>
      <c r="B83" s="23">
        <v>7</v>
      </c>
      <c r="C83" s="9">
        <v>2979681884.2158175</v>
      </c>
      <c r="D83" s="9">
        <v>2292062987.858321</v>
      </c>
      <c r="E83" s="9">
        <v>1012222069.3693522</v>
      </c>
      <c r="F83" s="9">
        <v>0</v>
      </c>
      <c r="G83" s="9">
        <v>0</v>
      </c>
      <c r="H83" s="9">
        <v>687618896.3574963</v>
      </c>
      <c r="I83" s="9">
        <v>0</v>
      </c>
      <c r="J83" s="9">
        <v>1012222069.3693522</v>
      </c>
      <c r="K83" s="9">
        <v>0</v>
      </c>
      <c r="L83" s="0" t="inlineStr">
        <is>
          <t xml:space="preserve">ZERO_RESIDUAL_NO_SALE</t>
        </is>
      </c>
      <c r="M83" s="0" t="inlineStr">
        <is>
          <t xml:space="preserve">DISTRIBUTION</t>
        </is>
      </c>
    </row>
    <row r="84">
      <c r="A84" s="0" t="inlineStr">
        <is>
          <t xml:space="preserve">VG-006</t>
        </is>
      </c>
      <c r="B84" s="23">
        <v>8</v>
      </c>
      <c r="C84" s="9">
        <v>2986725849.805113</v>
      </c>
      <c r="D84" s="9">
        <v>2297481422.9270096</v>
      </c>
      <c r="E84" s="9">
        <v>1012222069.3693522</v>
      </c>
      <c r="F84" s="9">
        <v>0</v>
      </c>
      <c r="G84" s="9">
        <v>0</v>
      </c>
      <c r="H84" s="9">
        <v>689244426.8781033</v>
      </c>
      <c r="I84" s="9">
        <v>0</v>
      </c>
      <c r="J84" s="9">
        <v>1012222069.3693522</v>
      </c>
      <c r="K84" s="9">
        <v>0</v>
      </c>
      <c r="L84" s="0" t="inlineStr">
        <is>
          <t xml:space="preserve">ZERO_RESIDUAL_NO_SALE</t>
        </is>
      </c>
      <c r="M84" s="0" t="inlineStr">
        <is>
          <t xml:space="preserve">DISTRIBUTION</t>
        </is>
      </c>
    </row>
    <row r="85">
      <c r="A85" s="0" t="inlineStr">
        <is>
          <t xml:space="preserve">VG-006</t>
        </is>
      </c>
      <c r="B85" s="23">
        <v>9</v>
      </c>
      <c r="C85" s="9">
        <v>2993682652.064324</v>
      </c>
      <c r="D85" s="9">
        <v>2302832809.280249</v>
      </c>
      <c r="E85" s="9">
        <v>1012222069.3693522</v>
      </c>
      <c r="F85" s="9">
        <v>0</v>
      </c>
      <c r="G85" s="9">
        <v>0</v>
      </c>
      <c r="H85" s="9">
        <v>690849842.7840748</v>
      </c>
      <c r="I85" s="9">
        <v>0</v>
      </c>
      <c r="J85" s="9">
        <v>1012222069.3693522</v>
      </c>
      <c r="K85" s="9">
        <v>0</v>
      </c>
      <c r="L85" s="0" t="inlineStr">
        <is>
          <t xml:space="preserve">ZERO_RESIDUAL_NO_SALE</t>
        </is>
      </c>
      <c r="M85" s="0" t="inlineStr">
        <is>
          <t xml:space="preserve">DISTRIBUTION</t>
        </is>
      </c>
    </row>
    <row r="86">
      <c r="A86" s="0" t="inlineStr">
        <is>
          <t xml:space="preserve">VG-006</t>
        </is>
      </c>
      <c r="B86" s="23">
        <v>10</v>
      </c>
      <c r="C86" s="9">
        <v>2879040953.0066814</v>
      </c>
      <c r="D86" s="9">
        <v>988691993.6310099</v>
      </c>
      <c r="E86" s="9">
        <v>1012222069.3693522</v>
      </c>
      <c r="F86" s="9">
        <v>0</v>
      </c>
      <c r="G86" s="9">
        <v>0</v>
      </c>
      <c r="H86" s="9">
        <v>1890348959.3756714</v>
      </c>
      <c r="I86" s="9">
        <v>0</v>
      </c>
      <c r="J86" s="9">
        <v>1012222069.3693522</v>
      </c>
      <c r="K86" s="9">
        <v>0</v>
      </c>
      <c r="L86" s="0" t="inlineStr">
        <is>
          <t xml:space="preserve">ZERO_RESIDUAL_NO_SALE</t>
        </is>
      </c>
      <c r="M86" s="0" t="inlineStr">
        <is>
          <t xml:space="preserve">DISTRIBUTION</t>
        </is>
      </c>
    </row>
    <row r="87">
      <c r="A87" s="0" t="inlineStr">
        <is>
          <t xml:space="preserve">VG-006</t>
        </is>
      </c>
      <c r="B87" s="23">
        <v>11</v>
      </c>
      <c r="C87" s="9">
        <v>3007323215.2526093</v>
      </c>
      <c r="D87" s="9">
        <v>0</v>
      </c>
      <c r="E87" s="9">
        <v>1012222069.3693522</v>
      </c>
      <c r="F87" s="9">
        <v>0</v>
      </c>
      <c r="G87" s="9">
        <v>0</v>
      </c>
      <c r="H87" s="9">
        <v>3007323215.2526093</v>
      </c>
      <c r="I87" s="9">
        <v>0</v>
      </c>
      <c r="J87" s="9">
        <v>1012222069.3693522</v>
      </c>
      <c r="K87" s="9">
        <v>0</v>
      </c>
      <c r="L87" s="0" t="inlineStr">
        <is>
          <t xml:space="preserve">ZERO_RESIDUAL_NO_SALE</t>
        </is>
      </c>
      <c r="M87" s="0" t="inlineStr">
        <is>
          <t xml:space="preserve">DISTRIBUTION</t>
        </is>
      </c>
    </row>
    <row r="88">
      <c r="A88" s="0" t="inlineStr">
        <is>
          <t xml:space="preserve">VG-006</t>
        </is>
      </c>
      <c r="B88" s="23">
        <v>12</v>
      </c>
      <c r="C88" s="9">
        <v>3014001041.650578</v>
      </c>
      <c r="D88" s="9">
        <v>0</v>
      </c>
      <c r="E88" s="9">
        <v>1012222069.3693522</v>
      </c>
      <c r="F88" s="9">
        <v>0</v>
      </c>
      <c r="G88" s="9">
        <v>0</v>
      </c>
      <c r="H88" s="9">
        <v>3014001041.650578</v>
      </c>
      <c r="I88" s="9">
        <v>0</v>
      </c>
      <c r="J88" s="9">
        <v>1012222069.3693522</v>
      </c>
      <c r="K88" s="9">
        <v>0</v>
      </c>
      <c r="L88" s="0" t="inlineStr">
        <is>
          <t xml:space="preserve">ZERO_RESIDUAL_NO_SALE</t>
        </is>
      </c>
      <c r="M88" s="0" t="inlineStr">
        <is>
          <t xml:space="preserve">DISTRIBUTION</t>
        </is>
      </c>
    </row>
    <row r="89">
      <c r="A89" s="0" t="inlineStr">
        <is>
          <t xml:space="preserve">VG-006</t>
        </is>
      </c>
      <c r="B89" s="23">
        <v>13</v>
      </c>
      <c r="C89" s="9">
        <v>3020579833.0538664</v>
      </c>
      <c r="D89" s="9">
        <v>0</v>
      </c>
      <c r="E89" s="9">
        <v>1012222069.3693522</v>
      </c>
      <c r="F89" s="9">
        <v>0</v>
      </c>
      <c r="G89" s="9">
        <v>0</v>
      </c>
      <c r="H89" s="9">
        <v>3020579833.0538664</v>
      </c>
      <c r="I89" s="9">
        <v>0</v>
      </c>
      <c r="J89" s="9">
        <v>1012222069.3693522</v>
      </c>
      <c r="K89" s="9">
        <v>0</v>
      </c>
      <c r="L89" s="0" t="inlineStr">
        <is>
          <t xml:space="preserve">ZERO_RESIDUAL_NO_SALE</t>
        </is>
      </c>
      <c r="M89" s="0" t="inlineStr">
        <is>
          <t xml:space="preserve">DISTRIBUTION</t>
        </is>
      </c>
    </row>
    <row r="90">
      <c r="A90" s="0" t="inlineStr">
        <is>
          <t xml:space="preserve">VG-006</t>
        </is>
      </c>
      <c r="B90" s="23">
        <v>14</v>
      </c>
      <c r="C90" s="9">
        <v>3027056457.4345436</v>
      </c>
      <c r="D90" s="9">
        <v>0</v>
      </c>
      <c r="E90" s="9">
        <v>1012222069.3693522</v>
      </c>
      <c r="F90" s="9">
        <v>0</v>
      </c>
      <c r="G90" s="9">
        <v>0</v>
      </c>
      <c r="H90" s="9">
        <v>3027056457.4345436</v>
      </c>
      <c r="I90" s="9">
        <v>0</v>
      </c>
      <c r="J90" s="9">
        <v>1012222069.3693522</v>
      </c>
      <c r="K90" s="9">
        <v>0</v>
      </c>
      <c r="L90" s="0" t="inlineStr">
        <is>
          <t xml:space="preserve">ZERO_RESIDUAL_NO_SALE</t>
        </is>
      </c>
      <c r="M90" s="0" t="inlineStr">
        <is>
          <t xml:space="preserve">DISTRIBUTION</t>
        </is>
      </c>
    </row>
    <row r="91">
      <c r="A91" s="0" t="inlineStr">
        <is>
          <t xml:space="preserve">VG-006</t>
        </is>
      </c>
      <c r="B91" s="23">
        <v>15</v>
      </c>
      <c r="C91" s="9">
        <v>3360759543.704076</v>
      </c>
      <c r="D91" s="9">
        <v>0</v>
      </c>
      <c r="E91" s="9">
        <v>1012222069.3693522</v>
      </c>
      <c r="F91" s="9">
        <v>0</v>
      </c>
      <c r="G91" s="9">
        <v>0</v>
      </c>
      <c r="H91" s="9">
        <v>3360759543.704076</v>
      </c>
      <c r="I91" s="9">
        <v>1012222069.3693522</v>
      </c>
      <c r="J91" s="9">
        <v>0</v>
      </c>
      <c r="K91" s="9">
        <v>0</v>
      </c>
      <c r="L91" s="0" t="inlineStr">
        <is>
          <t xml:space="preserve">ZERO_RESIDUAL_NO_SALE</t>
        </is>
      </c>
      <c r="M91" s="0" t="inlineStr">
        <is>
          <t xml:space="preserve">RELEASE</t>
        </is>
      </c>
    </row>
    <row r="92">
      <c r="A92" s="0" t="inlineStr">
        <is>
          <t xml:space="preserve">VG-007</t>
        </is>
      </c>
      <c r="B92" s="23">
        <v>1</v>
      </c>
      <c r="C92" s="9">
        <v>2916775518.988515</v>
      </c>
      <c r="D92" s="9">
        <v>2243673476.1450114</v>
      </c>
      <c r="E92" s="9">
        <v>0</v>
      </c>
      <c r="F92" s="9">
        <v>1121836738.0725057</v>
      </c>
      <c r="G92" s="9">
        <v>0</v>
      </c>
      <c r="H92" s="9">
        <v>673102042.8435035</v>
      </c>
      <c r="I92" s="9">
        <v>0</v>
      </c>
      <c r="J92" s="9">
        <v>1121836738.0725057</v>
      </c>
      <c r="K92" s="9">
        <v>0</v>
      </c>
      <c r="L92" s="0" t="inlineStr">
        <is>
          <t xml:space="preserve">ZERO_RESIDUAL_NO_SALE</t>
        </is>
      </c>
      <c r="M92" s="0" t="inlineStr">
        <is>
          <t xml:space="preserve">DISTRIBUTION</t>
        </is>
      </c>
    </row>
    <row r="93">
      <c r="A93" s="0" t="inlineStr">
        <is>
          <t xml:space="preserve">VG-007</t>
        </is>
      </c>
      <c r="B93" s="23">
        <v>2</v>
      </c>
      <c r="C93" s="9">
        <v>3262051264.8272004</v>
      </c>
      <c r="D93" s="9">
        <v>2509270203.713231</v>
      </c>
      <c r="E93" s="9">
        <v>1121836738.0725057</v>
      </c>
      <c r="F93" s="9">
        <v>0</v>
      </c>
      <c r="G93" s="9">
        <v>0</v>
      </c>
      <c r="H93" s="9">
        <v>752781061.1139693</v>
      </c>
      <c r="I93" s="9">
        <v>0</v>
      </c>
      <c r="J93" s="9">
        <v>1121836738.0725057</v>
      </c>
      <c r="K93" s="9">
        <v>0</v>
      </c>
      <c r="L93" s="0" t="inlineStr">
        <is>
          <t xml:space="preserve">ZERO_RESIDUAL_NO_SALE</t>
        </is>
      </c>
      <c r="M93" s="0" t="inlineStr">
        <is>
          <t xml:space="preserve">DISTRIBUTION</t>
        </is>
      </c>
    </row>
    <row r="94">
      <c r="A94" s="0" t="inlineStr">
        <is>
          <t xml:space="preserve">VG-007</t>
        </is>
      </c>
      <c r="B94" s="23">
        <v>3</v>
      </c>
      <c r="C94" s="9">
        <v>3270473957.525595</v>
      </c>
      <c r="D94" s="9">
        <v>2515749198.0966115</v>
      </c>
      <c r="E94" s="9">
        <v>1121836738.0725057</v>
      </c>
      <c r="F94" s="9">
        <v>0</v>
      </c>
      <c r="G94" s="9">
        <v>0</v>
      </c>
      <c r="H94" s="9">
        <v>754724759.4289837</v>
      </c>
      <c r="I94" s="9">
        <v>0</v>
      </c>
      <c r="J94" s="9">
        <v>1121836738.0725057</v>
      </c>
      <c r="K94" s="9">
        <v>0</v>
      </c>
      <c r="L94" s="0" t="inlineStr">
        <is>
          <t xml:space="preserve">ZERO_RESIDUAL_NO_SALE</t>
        </is>
      </c>
      <c r="M94" s="0" t="inlineStr">
        <is>
          <t xml:space="preserve">DISTRIBUTION</t>
        </is>
      </c>
    </row>
    <row r="95">
      <c r="A95" s="0" t="inlineStr">
        <is>
          <t xml:space="preserve">VG-007</t>
        </is>
      </c>
      <c r="B95" s="23">
        <v>4</v>
      </c>
      <c r="C95" s="9">
        <v>3278818604.7528467</v>
      </c>
      <c r="D95" s="9">
        <v>2522168157.5021896</v>
      </c>
      <c r="E95" s="9">
        <v>1121836738.0725057</v>
      </c>
      <c r="F95" s="9">
        <v>0</v>
      </c>
      <c r="G95" s="9">
        <v>0</v>
      </c>
      <c r="H95" s="9">
        <v>756650447.2506571</v>
      </c>
      <c r="I95" s="9">
        <v>0</v>
      </c>
      <c r="J95" s="9">
        <v>1121836738.0725057</v>
      </c>
      <c r="K95" s="9">
        <v>0</v>
      </c>
      <c r="L95" s="0" t="inlineStr">
        <is>
          <t xml:space="preserve">ZERO_RESIDUAL_NO_SALE</t>
        </is>
      </c>
      <c r="M95" s="0" t="inlineStr">
        <is>
          <t xml:space="preserve">DISTRIBUTION</t>
        </is>
      </c>
    </row>
    <row r="96">
      <c r="A96" s="0" t="inlineStr">
        <is>
          <t xml:space="preserve">VG-007</t>
        </is>
      </c>
      <c r="B96" s="23">
        <v>5</v>
      </c>
      <c r="C96" s="9">
        <v>3155448254.0263586</v>
      </c>
      <c r="D96" s="9">
        <v>2427267887.7125835</v>
      </c>
      <c r="E96" s="9">
        <v>1121836738.0725057</v>
      </c>
      <c r="F96" s="9">
        <v>0</v>
      </c>
      <c r="G96" s="9">
        <v>0</v>
      </c>
      <c r="H96" s="9">
        <v>728180366.3137751</v>
      </c>
      <c r="I96" s="9">
        <v>0</v>
      </c>
      <c r="J96" s="9">
        <v>1121836738.0725057</v>
      </c>
      <c r="K96" s="9">
        <v>0</v>
      </c>
      <c r="L96" s="0" t="inlineStr">
        <is>
          <t xml:space="preserve">ZERO_RESIDUAL_NO_SALE</t>
        </is>
      </c>
      <c r="M96" s="0" t="inlineStr">
        <is>
          <t xml:space="preserve">DISTRIBUTION</t>
        </is>
      </c>
    </row>
    <row r="97">
      <c r="A97" s="0" t="inlineStr">
        <is>
          <t xml:space="preserve">VG-007</t>
        </is>
      </c>
      <c r="B97" s="23">
        <v>6</v>
      </c>
      <c r="C97" s="9">
        <v>3295262576.808121</v>
      </c>
      <c r="D97" s="9">
        <v>2534817366.775478</v>
      </c>
      <c r="E97" s="9">
        <v>1121836738.0725057</v>
      </c>
      <c r="F97" s="9">
        <v>0</v>
      </c>
      <c r="G97" s="9">
        <v>0</v>
      </c>
      <c r="H97" s="9">
        <v>760445210.0326433</v>
      </c>
      <c r="I97" s="9">
        <v>0</v>
      </c>
      <c r="J97" s="9">
        <v>1121836738.0725057</v>
      </c>
      <c r="K97" s="9">
        <v>0</v>
      </c>
      <c r="L97" s="0" t="inlineStr">
        <is>
          <t xml:space="preserve">ZERO_RESIDUAL_NO_SALE</t>
        </is>
      </c>
      <c r="M97" s="0" t="inlineStr">
        <is>
          <t xml:space="preserve">DISTRIBUTION</t>
        </is>
      </c>
    </row>
    <row r="98">
      <c r="A98" s="0" t="inlineStr">
        <is>
          <t xml:space="preserve">VG-007</t>
        </is>
      </c>
      <c r="B98" s="23">
        <v>7</v>
      </c>
      <c r="C98" s="9">
        <v>3303356153.2264395</v>
      </c>
      <c r="D98" s="9">
        <v>2541043194.789569</v>
      </c>
      <c r="E98" s="9">
        <v>1121836738.0725057</v>
      </c>
      <c r="F98" s="9">
        <v>0</v>
      </c>
      <c r="G98" s="9">
        <v>0</v>
      </c>
      <c r="H98" s="9">
        <v>762312958.4368706</v>
      </c>
      <c r="I98" s="9">
        <v>0</v>
      </c>
      <c r="J98" s="9">
        <v>1121836738.0725057</v>
      </c>
      <c r="K98" s="9">
        <v>0</v>
      </c>
      <c r="L98" s="0" t="inlineStr">
        <is>
          <t xml:space="preserve">ZERO_RESIDUAL_NO_SALE</t>
        </is>
      </c>
      <c r="M98" s="0" t="inlineStr">
        <is>
          <t xml:space="preserve">DISTRIBUTION</t>
        </is>
      </c>
    </row>
    <row r="99">
      <c r="A99" s="0" t="inlineStr">
        <is>
          <t xml:space="preserve">VG-007</t>
        </is>
      </c>
      <c r="B99" s="23">
        <v>8</v>
      </c>
      <c r="C99" s="9">
        <v>3311360184.80254</v>
      </c>
      <c r="D99" s="9">
        <v>2547200142.1558</v>
      </c>
      <c r="E99" s="9">
        <v>1121836738.0725057</v>
      </c>
      <c r="F99" s="9">
        <v>0</v>
      </c>
      <c r="G99" s="9">
        <v>0</v>
      </c>
      <c r="H99" s="9">
        <v>764160042.64674</v>
      </c>
      <c r="I99" s="9">
        <v>0</v>
      </c>
      <c r="J99" s="9">
        <v>1121836738.0725057</v>
      </c>
      <c r="K99" s="9">
        <v>0</v>
      </c>
      <c r="L99" s="0" t="inlineStr">
        <is>
          <t xml:space="preserve">ZERO_RESIDUAL_NO_SALE</t>
        </is>
      </c>
      <c r="M99" s="0" t="inlineStr">
        <is>
          <t xml:space="preserve">DISTRIBUTION</t>
        </is>
      </c>
    </row>
    <row r="100">
      <c r="A100" s="0" t="inlineStr">
        <is>
          <t xml:space="preserve">VG-007</t>
        </is>
      </c>
      <c r="B100" s="23">
        <v>9</v>
      </c>
      <c r="C100" s="9">
        <v>3319271636.1285453</v>
      </c>
      <c r="D100" s="9">
        <v>2553285873.945035</v>
      </c>
      <c r="E100" s="9">
        <v>1121836738.0725057</v>
      </c>
      <c r="F100" s="9">
        <v>0</v>
      </c>
      <c r="G100" s="9">
        <v>0</v>
      </c>
      <c r="H100" s="9">
        <v>765985762.1835103</v>
      </c>
      <c r="I100" s="9">
        <v>0</v>
      </c>
      <c r="J100" s="9">
        <v>1121836738.0725057</v>
      </c>
      <c r="K100" s="9">
        <v>0</v>
      </c>
      <c r="L100" s="0" t="inlineStr">
        <is>
          <t xml:space="preserve">ZERO_RESIDUAL_NO_SALE</t>
        </is>
      </c>
      <c r="M100" s="0" t="inlineStr">
        <is>
          <t xml:space="preserve">DISTRIBUTION</t>
        </is>
      </c>
    </row>
    <row r="101">
      <c r="A101" s="0" t="inlineStr">
        <is>
          <t xml:space="preserve">VG-007</t>
        </is>
      </c>
      <c r="B101" s="23">
        <v>10</v>
      </c>
      <c r="C101" s="9">
        <v>3195453233.526573</v>
      </c>
      <c r="D101" s="9">
        <v>1098848974.627163</v>
      </c>
      <c r="E101" s="9">
        <v>1121836738.0725057</v>
      </c>
      <c r="F101" s="9">
        <v>0</v>
      </c>
      <c r="G101" s="9">
        <v>0</v>
      </c>
      <c r="H101" s="9">
        <v>2096604258.8994102</v>
      </c>
      <c r="I101" s="9">
        <v>0</v>
      </c>
      <c r="J101" s="9">
        <v>1121836738.0725057</v>
      </c>
      <c r="K101" s="9">
        <v>0</v>
      </c>
      <c r="L101" s="0" t="inlineStr">
        <is>
          <t xml:space="preserve">ZERO_RESIDUAL_NO_SALE</t>
        </is>
      </c>
      <c r="M101" s="0" t="inlineStr">
        <is>
          <t xml:space="preserve">DISTRIBUTION</t>
        </is>
      </c>
    </row>
    <row r="102">
      <c r="A102" s="0" t="inlineStr">
        <is>
          <t xml:space="preserve">VG-007</t>
        </is>
      </c>
      <c r="B102" s="23">
        <v>11</v>
      </c>
      <c r="C102" s="9">
        <v>3334804320.688453</v>
      </c>
      <c r="D102" s="9">
        <v>0</v>
      </c>
      <c r="E102" s="9">
        <v>1121836738.0725057</v>
      </c>
      <c r="F102" s="9">
        <v>0</v>
      </c>
      <c r="G102" s="9">
        <v>0</v>
      </c>
      <c r="H102" s="9">
        <v>3334804320.688453</v>
      </c>
      <c r="I102" s="9">
        <v>0</v>
      </c>
      <c r="J102" s="9">
        <v>1121836738.0725057</v>
      </c>
      <c r="K102" s="9">
        <v>0</v>
      </c>
      <c r="L102" s="0" t="inlineStr">
        <is>
          <t xml:space="preserve">ZERO_RESIDUAL_NO_SALE</t>
        </is>
      </c>
      <c r="M102" s="0" t="inlineStr">
        <is>
          <t xml:space="preserve">DISTRIBUTION</t>
        </is>
      </c>
    </row>
    <row r="103">
      <c r="A103" s="0" t="inlineStr">
        <is>
          <t xml:space="preserve">VG-007</t>
        </is>
      </c>
      <c r="B103" s="23">
        <v>12</v>
      </c>
      <c r="C103" s="9">
        <v>3342419143.265202</v>
      </c>
      <c r="D103" s="9">
        <v>0</v>
      </c>
      <c r="E103" s="9">
        <v>1121836738.0725057</v>
      </c>
      <c r="F103" s="9">
        <v>0</v>
      </c>
      <c r="G103" s="9">
        <v>0</v>
      </c>
      <c r="H103" s="9">
        <v>3342419143.265202</v>
      </c>
      <c r="I103" s="9">
        <v>0</v>
      </c>
      <c r="J103" s="9">
        <v>1121836738.0725057</v>
      </c>
      <c r="K103" s="9">
        <v>0</v>
      </c>
      <c r="L103" s="0" t="inlineStr">
        <is>
          <t xml:space="preserve">ZERO_RESIDUAL_NO_SALE</t>
        </is>
      </c>
      <c r="M103" s="0" t="inlineStr">
        <is>
          <t xml:space="preserve">DISTRIBUTION</t>
        </is>
      </c>
    </row>
    <row r="104">
      <c r="A104" s="0" t="inlineStr">
        <is>
          <t xml:space="preserve">VG-007</t>
        </is>
      </c>
      <c r="B104" s="23">
        <v>13</v>
      </c>
      <c r="C104" s="9">
        <v>3349928561.458742</v>
      </c>
      <c r="D104" s="9">
        <v>0</v>
      </c>
      <c r="E104" s="9">
        <v>1121836738.0725057</v>
      </c>
      <c r="F104" s="9">
        <v>0</v>
      </c>
      <c r="G104" s="9">
        <v>0</v>
      </c>
      <c r="H104" s="9">
        <v>3349928561.458742</v>
      </c>
      <c r="I104" s="9">
        <v>0</v>
      </c>
      <c r="J104" s="9">
        <v>1121836738.0725057</v>
      </c>
      <c r="K104" s="9">
        <v>0</v>
      </c>
      <c r="L104" s="0" t="inlineStr">
        <is>
          <t xml:space="preserve">ZERO_RESIDUAL_NO_SALE</t>
        </is>
      </c>
      <c r="M104" s="0" t="inlineStr">
        <is>
          <t xml:space="preserve">DISTRIBUTION</t>
        </is>
      </c>
    </row>
    <row r="105">
      <c r="A105" s="0" t="inlineStr">
        <is>
          <t xml:space="preserve">VG-007</t>
        </is>
      </c>
      <c r="B105" s="23">
        <v>14</v>
      </c>
      <c r="C105" s="9">
        <v>3357329191.562279</v>
      </c>
      <c r="D105" s="9">
        <v>0</v>
      </c>
      <c r="E105" s="9">
        <v>1121836738.0725057</v>
      </c>
      <c r="F105" s="9">
        <v>0</v>
      </c>
      <c r="G105" s="9">
        <v>0</v>
      </c>
      <c r="H105" s="9">
        <v>3357329191.562279</v>
      </c>
      <c r="I105" s="9">
        <v>0</v>
      </c>
      <c r="J105" s="9">
        <v>1121836738.0725057</v>
      </c>
      <c r="K105" s="9">
        <v>0</v>
      </c>
      <c r="L105" s="0" t="inlineStr">
        <is>
          <t xml:space="preserve">ZERO_RESIDUAL_NO_SALE</t>
        </is>
      </c>
      <c r="M105" s="0" t="inlineStr">
        <is>
          <t xml:space="preserve">DISTRIBUTION</t>
        </is>
      </c>
    </row>
    <row r="106">
      <c r="A106" s="0" t="inlineStr">
        <is>
          <t xml:space="preserve">VG-007</t>
        </is>
      </c>
      <c r="B106" s="23">
        <v>15</v>
      </c>
      <c r="C106" s="9">
        <v>3727286364.0022163</v>
      </c>
      <c r="D106" s="9">
        <v>0</v>
      </c>
      <c r="E106" s="9">
        <v>1121836738.0725057</v>
      </c>
      <c r="F106" s="9">
        <v>0</v>
      </c>
      <c r="G106" s="9">
        <v>0</v>
      </c>
      <c r="H106" s="9">
        <v>3727286364.0022163</v>
      </c>
      <c r="I106" s="9">
        <v>1121836738.0725057</v>
      </c>
      <c r="J106" s="9">
        <v>0</v>
      </c>
      <c r="K106" s="9">
        <v>0</v>
      </c>
      <c r="L106" s="0" t="inlineStr">
        <is>
          <t xml:space="preserve">ZERO_RESIDUAL_NO_SALE</t>
        </is>
      </c>
      <c r="M106" s="0" t="inlineStr">
        <is>
          <t xml:space="preserve">RELEASE</t>
        </is>
      </c>
    </row>
    <row r="107">
      <c r="A107" s="0" t="inlineStr">
        <is>
          <t xml:space="preserve">VG-008</t>
        </is>
      </c>
      <c r="B107" s="23">
        <v>1</v>
      </c>
      <c r="C107" s="9">
        <v>2900701065.2898855</v>
      </c>
      <c r="D107" s="9">
        <v>2231308511.7614503</v>
      </c>
      <c r="E107" s="9">
        <v>0</v>
      </c>
      <c r="F107" s="9">
        <v>1115654255.8807251</v>
      </c>
      <c r="G107" s="9">
        <v>0</v>
      </c>
      <c r="H107" s="9">
        <v>669392553.5284352</v>
      </c>
      <c r="I107" s="9">
        <v>0</v>
      </c>
      <c r="J107" s="9">
        <v>1115654255.8807251</v>
      </c>
      <c r="K107" s="9">
        <v>0</v>
      </c>
      <c r="L107" s="0" t="inlineStr">
        <is>
          <t xml:space="preserve">ZERO_RESIDUAL_NO_SALE</t>
        </is>
      </c>
      <c r="M107" s="0" t="inlineStr">
        <is>
          <t xml:space="preserve">DISTRIBUTION</t>
        </is>
      </c>
    </row>
    <row r="108">
      <c r="A108" s="0" t="inlineStr">
        <is>
          <t xml:space="preserve">VG-008</t>
        </is>
      </c>
      <c r="B108" s="23">
        <v>2</v>
      </c>
      <c r="C108" s="9">
        <v>3244056656.281392</v>
      </c>
      <c r="D108" s="9">
        <v>2495428197.139532</v>
      </c>
      <c r="E108" s="9">
        <v>1115654255.8807251</v>
      </c>
      <c r="F108" s="9">
        <v>0</v>
      </c>
      <c r="G108" s="9">
        <v>0</v>
      </c>
      <c r="H108" s="9">
        <v>748628459.14186</v>
      </c>
      <c r="I108" s="9">
        <v>0</v>
      </c>
      <c r="J108" s="9">
        <v>1115654255.8807251</v>
      </c>
      <c r="K108" s="9">
        <v>0</v>
      </c>
      <c r="L108" s="0" t="inlineStr">
        <is>
          <t xml:space="preserve">ZERO_RESIDUAL_NO_SALE</t>
        </is>
      </c>
      <c r="M108" s="0" t="inlineStr">
        <is>
          <t xml:space="preserve">DISTRIBUTION</t>
        </is>
      </c>
    </row>
    <row r="109">
      <c r="A109" s="0" t="inlineStr">
        <is>
          <t xml:space="preserve">VG-008</t>
        </is>
      </c>
      <c r="B109" s="23">
        <v>3</v>
      </c>
      <c r="C109" s="9">
        <v>3252390275.6674857</v>
      </c>
      <c r="D109" s="9">
        <v>2501838673.5903735</v>
      </c>
      <c r="E109" s="9">
        <v>1115654255.8807251</v>
      </c>
      <c r="F109" s="9">
        <v>0</v>
      </c>
      <c r="G109" s="9">
        <v>0</v>
      </c>
      <c r="H109" s="9">
        <v>750551602.0771122</v>
      </c>
      <c r="I109" s="9">
        <v>0</v>
      </c>
      <c r="J109" s="9">
        <v>1115654255.8807251</v>
      </c>
      <c r="K109" s="9">
        <v>0</v>
      </c>
      <c r="L109" s="0" t="inlineStr">
        <is>
          <t xml:space="preserve">ZERO_RESIDUAL_NO_SALE</t>
        </is>
      </c>
      <c r="M109" s="0" t="inlineStr">
        <is>
          <t xml:space="preserve">DISTRIBUTION</t>
        </is>
      </c>
    </row>
    <row r="110">
      <c r="A110" s="0" t="inlineStr">
        <is>
          <t xml:space="preserve">VG-008</t>
        </is>
      </c>
      <c r="B110" s="23">
        <v>4</v>
      </c>
      <c r="C110" s="9">
        <v>3260645408.66954</v>
      </c>
      <c r="D110" s="9">
        <v>2508188775.899646</v>
      </c>
      <c r="E110" s="9">
        <v>1115654255.8807251</v>
      </c>
      <c r="F110" s="9">
        <v>0</v>
      </c>
      <c r="G110" s="9">
        <v>0</v>
      </c>
      <c r="H110" s="9">
        <v>752456632.7698941</v>
      </c>
      <c r="I110" s="9">
        <v>0</v>
      </c>
      <c r="J110" s="9">
        <v>1115654255.8807251</v>
      </c>
      <c r="K110" s="9">
        <v>0</v>
      </c>
      <c r="L110" s="0" t="inlineStr">
        <is>
          <t xml:space="preserve">ZERO_RESIDUAL_NO_SALE</t>
        </is>
      </c>
      <c r="M110" s="0" t="inlineStr">
        <is>
          <t xml:space="preserve">DISTRIBUTION</t>
        </is>
      </c>
    </row>
    <row r="111">
      <c r="A111" s="0" t="inlineStr">
        <is>
          <t xml:space="preserve">VG-008</t>
        </is>
      </c>
      <c r="B111" s="23">
        <v>5</v>
      </c>
      <c r="C111" s="9">
        <v>3137185100.6224384</v>
      </c>
      <c r="D111" s="9">
        <v>2413219308.1711063</v>
      </c>
      <c r="E111" s="9">
        <v>1115654255.8807251</v>
      </c>
      <c r="F111" s="9">
        <v>0</v>
      </c>
      <c r="G111" s="9">
        <v>0</v>
      </c>
      <c r="H111" s="9">
        <v>723965792.4513321</v>
      </c>
      <c r="I111" s="9">
        <v>0</v>
      </c>
      <c r="J111" s="9">
        <v>1115654255.8807251</v>
      </c>
      <c r="K111" s="9">
        <v>0</v>
      </c>
      <c r="L111" s="0" t="inlineStr">
        <is>
          <t xml:space="preserve">ZERO_RESIDUAL_NO_SALE</t>
        </is>
      </c>
      <c r="M111" s="0" t="inlineStr">
        <is>
          <t xml:space="preserve">DISTRIBUTION</t>
        </is>
      </c>
    </row>
    <row r="112">
      <c r="A112" s="0" t="inlineStr">
        <is>
          <t xml:space="preserve">VG-008</t>
        </is>
      </c>
      <c r="B112" s="23">
        <v>6</v>
      </c>
      <c r="C112" s="9">
        <v>3276909020.794852</v>
      </c>
      <c r="D112" s="9">
        <v>2520699246.7652707</v>
      </c>
      <c r="E112" s="9">
        <v>1115654255.8807251</v>
      </c>
      <c r="F112" s="9">
        <v>0</v>
      </c>
      <c r="G112" s="9">
        <v>0</v>
      </c>
      <c r="H112" s="9">
        <v>756209774.0295811</v>
      </c>
      <c r="I112" s="9">
        <v>0</v>
      </c>
      <c r="J112" s="9">
        <v>1115654255.8807251</v>
      </c>
      <c r="K112" s="9">
        <v>0</v>
      </c>
      <c r="L112" s="0" t="inlineStr">
        <is>
          <t xml:space="preserve">ZERO_RESIDUAL_NO_SALE</t>
        </is>
      </c>
      <c r="M112" s="0" t="inlineStr">
        <is>
          <t xml:space="preserve">DISTRIBUTION</t>
        </is>
      </c>
    </row>
    <row r="113">
      <c r="A113" s="0" t="inlineStr">
        <is>
          <t xml:space="preserve">VG-008</t>
        </is>
      </c>
      <c r="B113" s="23">
        <v>7</v>
      </c>
      <c r="C113" s="9">
        <v>3284911747.110904</v>
      </c>
      <c r="D113" s="9">
        <v>2526855190.085311</v>
      </c>
      <c r="E113" s="9">
        <v>1115654255.8807251</v>
      </c>
      <c r="F113" s="9">
        <v>0</v>
      </c>
      <c r="G113" s="9">
        <v>0</v>
      </c>
      <c r="H113" s="9">
        <v>758056557.0255933</v>
      </c>
      <c r="I113" s="9">
        <v>0</v>
      </c>
      <c r="J113" s="9">
        <v>1115654255.8807251</v>
      </c>
      <c r="K113" s="9">
        <v>0</v>
      </c>
      <c r="L113" s="0" t="inlineStr">
        <is>
          <t xml:space="preserve">ZERO_RESIDUAL_NO_SALE</t>
        </is>
      </c>
      <c r="M113" s="0" t="inlineStr">
        <is>
          <t xml:space="preserve">DISTRIBUTION</t>
        </is>
      </c>
    </row>
    <row r="114">
      <c r="A114" s="0" t="inlineStr">
        <is>
          <t xml:space="preserve">VG-008</t>
        </is>
      </c>
      <c r="B114" s="23">
        <v>8</v>
      </c>
      <c r="C114" s="9">
        <v>3292824478.876733</v>
      </c>
      <c r="D114" s="9">
        <v>2532941906.828256</v>
      </c>
      <c r="E114" s="9">
        <v>1115654255.8807251</v>
      </c>
      <c r="F114" s="9">
        <v>0</v>
      </c>
      <c r="G114" s="9">
        <v>0</v>
      </c>
      <c r="H114" s="9">
        <v>759882572.0484767</v>
      </c>
      <c r="I114" s="9">
        <v>0</v>
      </c>
      <c r="J114" s="9">
        <v>1115654255.8807251</v>
      </c>
      <c r="K114" s="9">
        <v>0</v>
      </c>
      <c r="L114" s="0" t="inlineStr">
        <is>
          <t xml:space="preserve">ZERO_RESIDUAL_NO_SALE</t>
        </is>
      </c>
      <c r="M114" s="0" t="inlineStr">
        <is>
          <t xml:space="preserve">DISTRIBUTION</t>
        </is>
      </c>
    </row>
    <row r="115">
      <c r="A115" s="0" t="inlineStr">
        <is>
          <t xml:space="preserve">VG-008</t>
        </is>
      </c>
      <c r="B115" s="23">
        <v>9</v>
      </c>
      <c r="C115" s="9">
        <v>3300644178.4584055</v>
      </c>
      <c r="D115" s="9">
        <v>2538957060.352619</v>
      </c>
      <c r="E115" s="9">
        <v>1115654255.8807251</v>
      </c>
      <c r="F115" s="9">
        <v>0</v>
      </c>
      <c r="G115" s="9">
        <v>0</v>
      </c>
      <c r="H115" s="9">
        <v>761687118.1057863</v>
      </c>
      <c r="I115" s="9">
        <v>0</v>
      </c>
      <c r="J115" s="9">
        <v>1115654255.8807251</v>
      </c>
      <c r="K115" s="9">
        <v>0</v>
      </c>
      <c r="L115" s="0" t="inlineStr">
        <is>
          <t xml:space="preserve">ZERO_RESIDUAL_NO_SALE</t>
        </is>
      </c>
      <c r="M115" s="0" t="inlineStr">
        <is>
          <t xml:space="preserve">DISTRIBUTION</t>
        </is>
      </c>
    </row>
    <row r="116">
      <c r="A116" s="0" t="inlineStr">
        <is>
          <t xml:space="preserve">VG-008</t>
        </is>
      </c>
      <c r="B116" s="23">
        <v>10</v>
      </c>
      <c r="C116" s="9">
        <v>3176733569.9409666</v>
      </c>
      <c r="D116" s="9">
        <v>1092053904.9884949</v>
      </c>
      <c r="E116" s="9">
        <v>1115654255.8807251</v>
      </c>
      <c r="F116" s="9">
        <v>0</v>
      </c>
      <c r="G116" s="9">
        <v>0</v>
      </c>
      <c r="H116" s="9">
        <v>2084679664.9524717</v>
      </c>
      <c r="I116" s="9">
        <v>0</v>
      </c>
      <c r="J116" s="9">
        <v>1115654255.8807251</v>
      </c>
      <c r="K116" s="9">
        <v>0</v>
      </c>
      <c r="L116" s="0" t="inlineStr">
        <is>
          <t xml:space="preserve">ZERO_RESIDUAL_NO_SALE</t>
        </is>
      </c>
      <c r="M116" s="0" t="inlineStr">
        <is>
          <t xml:space="preserve">DISTRIBUTION</t>
        </is>
      </c>
    </row>
    <row r="117">
      <c r="A117" s="0" t="inlineStr">
        <is>
          <t xml:space="preserve">VG-008</t>
        </is>
      </c>
      <c r="B117" s="23">
        <v>11</v>
      </c>
      <c r="C117" s="9">
        <v>3315991994.768099</v>
      </c>
      <c r="D117" s="9">
        <v>0</v>
      </c>
      <c r="E117" s="9">
        <v>1115654255.8807251</v>
      </c>
      <c r="F117" s="9">
        <v>0</v>
      </c>
      <c r="G117" s="9">
        <v>0</v>
      </c>
      <c r="H117" s="9">
        <v>3315991994.768099</v>
      </c>
      <c r="I117" s="9">
        <v>0</v>
      </c>
      <c r="J117" s="9">
        <v>1115654255.8807251</v>
      </c>
      <c r="K117" s="9">
        <v>0</v>
      </c>
      <c r="L117" s="0" t="inlineStr">
        <is>
          <t xml:space="preserve">ZERO_RESIDUAL_NO_SALE</t>
        </is>
      </c>
      <c r="M117" s="0" t="inlineStr">
        <is>
          <t xml:space="preserve">DISTRIBUTION</t>
        </is>
      </c>
    </row>
    <row r="118">
      <c r="A118" s="0" t="inlineStr">
        <is>
          <t xml:space="preserve">VG-008</t>
        </is>
      </c>
      <c r="B118" s="23">
        <v>12</v>
      </c>
      <c r="C118" s="9">
        <v>3323513696.331541</v>
      </c>
      <c r="D118" s="9">
        <v>0</v>
      </c>
      <c r="E118" s="9">
        <v>1115654255.8807251</v>
      </c>
      <c r="F118" s="9">
        <v>0</v>
      </c>
      <c r="G118" s="9">
        <v>0</v>
      </c>
      <c r="H118" s="9">
        <v>3323513696.331541</v>
      </c>
      <c r="I118" s="9">
        <v>0</v>
      </c>
      <c r="J118" s="9">
        <v>1115654255.8807251</v>
      </c>
      <c r="K118" s="9">
        <v>0</v>
      </c>
      <c r="L118" s="0" t="inlineStr">
        <is>
          <t xml:space="preserve">ZERO_RESIDUAL_NO_SALE</t>
        </is>
      </c>
      <c r="M118" s="0" t="inlineStr">
        <is>
          <t xml:space="preserve">DISTRIBUTION</t>
        </is>
      </c>
    </row>
    <row r="119">
      <c r="A119" s="0" t="inlineStr">
        <is>
          <t xml:space="preserve">VG-008</t>
        </is>
      </c>
      <c r="B119" s="23">
        <v>13</v>
      </c>
      <c r="C119" s="9">
        <v>3330929532.56276</v>
      </c>
      <c r="D119" s="9">
        <v>0</v>
      </c>
      <c r="E119" s="9">
        <v>1115654255.8807251</v>
      </c>
      <c r="F119" s="9">
        <v>0</v>
      </c>
      <c r="G119" s="9">
        <v>0</v>
      </c>
      <c r="H119" s="9">
        <v>3330929532.56276</v>
      </c>
      <c r="I119" s="9">
        <v>0</v>
      </c>
      <c r="J119" s="9">
        <v>1115654255.8807251</v>
      </c>
      <c r="K119" s="9">
        <v>0</v>
      </c>
      <c r="L119" s="0" t="inlineStr">
        <is>
          <t xml:space="preserve">ZERO_RESIDUAL_NO_SALE</t>
        </is>
      </c>
      <c r="M119" s="0" t="inlineStr">
        <is>
          <t xml:space="preserve">DISTRIBUTION</t>
        </is>
      </c>
    </row>
    <row r="120">
      <c r="A120" s="0" t="inlineStr">
        <is>
          <t xml:space="preserve">VG-008</t>
        </is>
      </c>
      <c r="B120" s="23">
        <v>14</v>
      </c>
      <c r="C120" s="9">
        <v>3338236117.4732604</v>
      </c>
      <c r="D120" s="9">
        <v>0</v>
      </c>
      <c r="E120" s="9">
        <v>1115654255.8807251</v>
      </c>
      <c r="F120" s="9">
        <v>0</v>
      </c>
      <c r="G120" s="9">
        <v>0</v>
      </c>
      <c r="H120" s="9">
        <v>3338236117.4732604</v>
      </c>
      <c r="I120" s="9">
        <v>0</v>
      </c>
      <c r="J120" s="9">
        <v>1115654255.8807251</v>
      </c>
      <c r="K120" s="9">
        <v>0</v>
      </c>
      <c r="L120" s="0" t="inlineStr">
        <is>
          <t xml:space="preserve">ZERO_RESIDUAL_NO_SALE</t>
        </is>
      </c>
      <c r="M120" s="0" t="inlineStr">
        <is>
          <t xml:space="preserve">DISTRIBUTION</t>
        </is>
      </c>
    </row>
    <row r="121">
      <c r="A121" s="0" t="inlineStr">
        <is>
          <t xml:space="preserve">VG-008</t>
        </is>
      </c>
      <c r="B121" s="23">
        <v>15</v>
      </c>
      <c r="C121" s="9">
        <v>3706126453.882019</v>
      </c>
      <c r="D121" s="9">
        <v>0</v>
      </c>
      <c r="E121" s="9">
        <v>1115654255.8807251</v>
      </c>
      <c r="F121" s="9">
        <v>0</v>
      </c>
      <c r="G121" s="9">
        <v>0</v>
      </c>
      <c r="H121" s="9">
        <v>3706126453.882019</v>
      </c>
      <c r="I121" s="9">
        <v>1115654255.8807251</v>
      </c>
      <c r="J121" s="9">
        <v>0</v>
      </c>
      <c r="K121" s="9">
        <v>0</v>
      </c>
      <c r="L121" s="0" t="inlineStr">
        <is>
          <t xml:space="preserve">ZERO_RESIDUAL_NO_SALE</t>
        </is>
      </c>
      <c r="M121" s="0" t="inlineStr">
        <is>
          <t xml:space="preserve">RELEASE</t>
        </is>
      </c>
    </row>
    <row r="122">
      <c r="A122" s="0" t="inlineStr">
        <is>
          <t xml:space="preserve">VG-009</t>
        </is>
      </c>
      <c r="B122" s="23">
        <v>1</v>
      </c>
      <c r="C122" s="9">
        <v>2969869926.659748</v>
      </c>
      <c r="D122" s="9">
        <v>2284515328.199806</v>
      </c>
      <c r="E122" s="9">
        <v>0</v>
      </c>
      <c r="F122" s="9">
        <v>1142257664.099903</v>
      </c>
      <c r="G122" s="9">
        <v>0</v>
      </c>
      <c r="H122" s="9">
        <v>685354598.4599419</v>
      </c>
      <c r="I122" s="9">
        <v>0</v>
      </c>
      <c r="J122" s="9">
        <v>1142257664.099903</v>
      </c>
      <c r="K122" s="9">
        <v>0</v>
      </c>
      <c r="L122" s="0" t="inlineStr">
        <is>
          <t xml:space="preserve">ZERO_RESIDUAL_NO_SALE</t>
        </is>
      </c>
      <c r="M122" s="0" t="inlineStr">
        <is>
          <t xml:space="preserve">DISTRIBUTION</t>
        </is>
      </c>
    </row>
    <row r="123">
      <c r="A123" s="0" t="inlineStr">
        <is>
          <t xml:space="preserve">VG-009</t>
        </is>
      </c>
      <c r="B123" s="23">
        <v>2</v>
      </c>
      <c r="C123" s="9">
        <v>3321488002.145172</v>
      </c>
      <c r="D123" s="9">
        <v>2554990770.8809013</v>
      </c>
      <c r="E123" s="9">
        <v>1142257664.099903</v>
      </c>
      <c r="F123" s="9">
        <v>0</v>
      </c>
      <c r="G123" s="9">
        <v>0</v>
      </c>
      <c r="H123" s="9">
        <v>766497231.2642708</v>
      </c>
      <c r="I123" s="9">
        <v>0</v>
      </c>
      <c r="J123" s="9">
        <v>1142257664.099903</v>
      </c>
      <c r="K123" s="9">
        <v>0</v>
      </c>
      <c r="L123" s="0" t="inlineStr">
        <is>
          <t xml:space="preserve">ZERO_RESIDUAL_NO_SALE</t>
        </is>
      </c>
      <c r="M123" s="0" t="inlineStr">
        <is>
          <t xml:space="preserve">DISTRIBUTION</t>
        </is>
      </c>
    </row>
    <row r="124">
      <c r="A124" s="0" t="inlineStr">
        <is>
          <t xml:space="preserve">VG-009</t>
        </is>
      </c>
      <c r="B124" s="23">
        <v>3</v>
      </c>
      <c r="C124" s="9">
        <v>3330204906.6932917</v>
      </c>
      <c r="D124" s="9">
        <v>2561696082.0717626</v>
      </c>
      <c r="E124" s="9">
        <v>1142257664.099903</v>
      </c>
      <c r="F124" s="9">
        <v>0</v>
      </c>
      <c r="G124" s="9">
        <v>0</v>
      </c>
      <c r="H124" s="9">
        <v>768508824.6215291</v>
      </c>
      <c r="I124" s="9">
        <v>0</v>
      </c>
      <c r="J124" s="9">
        <v>1142257664.099903</v>
      </c>
      <c r="K124" s="9">
        <v>0</v>
      </c>
      <c r="L124" s="0" t="inlineStr">
        <is>
          <t xml:space="preserve">ZERO_RESIDUAL_NO_SALE</t>
        </is>
      </c>
      <c r="M124" s="0" t="inlineStr">
        <is>
          <t xml:space="preserve">DISTRIBUTION</t>
        </is>
      </c>
    </row>
    <row r="125">
      <c r="A125" s="0" t="inlineStr">
        <is>
          <t xml:space="preserve">VG-009</t>
        </is>
      </c>
      <c r="B125" s="23">
        <v>4</v>
      </c>
      <c r="C125" s="9">
        <v>3338845222.118924</v>
      </c>
      <c r="D125" s="9">
        <v>2568342478.5530186</v>
      </c>
      <c r="E125" s="9">
        <v>1142257664.099903</v>
      </c>
      <c r="F125" s="9">
        <v>0</v>
      </c>
      <c r="G125" s="9">
        <v>0</v>
      </c>
      <c r="H125" s="9">
        <v>770502743.5659056</v>
      </c>
      <c r="I125" s="9">
        <v>0</v>
      </c>
      <c r="J125" s="9">
        <v>1142257664.099903</v>
      </c>
      <c r="K125" s="9">
        <v>0</v>
      </c>
      <c r="L125" s="0" t="inlineStr">
        <is>
          <t xml:space="preserve">ZERO_RESIDUAL_NO_SALE</t>
        </is>
      </c>
      <c r="M125" s="0" t="inlineStr">
        <is>
          <t xml:space="preserve">DISTRIBUTION</t>
        </is>
      </c>
    </row>
    <row r="126">
      <c r="A126" s="0" t="inlineStr">
        <is>
          <t xml:space="preserve">VG-009</t>
        </is>
      </c>
      <c r="B126" s="23">
        <v>5</v>
      </c>
      <c r="C126" s="9">
        <v>3215772003.1483965</v>
      </c>
      <c r="D126" s="9">
        <v>2473670771.6526127</v>
      </c>
      <c r="E126" s="9">
        <v>1142257664.099903</v>
      </c>
      <c r="F126" s="9">
        <v>0</v>
      </c>
      <c r="G126" s="9">
        <v>0</v>
      </c>
      <c r="H126" s="9">
        <v>742101231.4957838</v>
      </c>
      <c r="I126" s="9">
        <v>0</v>
      </c>
      <c r="J126" s="9">
        <v>1142257664.099903</v>
      </c>
      <c r="K126" s="9">
        <v>0</v>
      </c>
      <c r="L126" s="0" t="inlineStr">
        <is>
          <t xml:space="preserve">ZERO_RESIDUAL_NO_SALE</t>
        </is>
      </c>
      <c r="M126" s="0" t="inlineStr">
        <is>
          <t xml:space="preserve">DISTRIBUTION</t>
        </is>
      </c>
    </row>
    <row r="127">
      <c r="A127" s="0" t="inlineStr">
        <is>
          <t xml:space="preserve">VG-009</t>
        </is>
      </c>
      <c r="B127" s="23">
        <v>6</v>
      </c>
      <c r="C127" s="9">
        <v>3355884928.488314</v>
      </c>
      <c r="D127" s="9">
        <v>2581449944.9910107</v>
      </c>
      <c r="E127" s="9">
        <v>1142257664.099903</v>
      </c>
      <c r="F127" s="9">
        <v>0</v>
      </c>
      <c r="G127" s="9">
        <v>0</v>
      </c>
      <c r="H127" s="9">
        <v>774434983.4973035</v>
      </c>
      <c r="I127" s="9">
        <v>0</v>
      </c>
      <c r="J127" s="9">
        <v>1142257664.099903</v>
      </c>
      <c r="K127" s="9">
        <v>0</v>
      </c>
      <c r="L127" s="0" t="inlineStr">
        <is>
          <t xml:space="preserve">ZERO_RESIDUAL_NO_SALE</t>
        </is>
      </c>
      <c r="M127" s="0" t="inlineStr">
        <is>
          <t xml:space="preserve">DISTRIBUTION</t>
        </is>
      </c>
    </row>
    <row r="128">
      <c r="A128" s="0" t="inlineStr">
        <is>
          <t xml:space="preserve">VG-009</t>
        </is>
      </c>
      <c r="B128" s="23">
        <v>7</v>
      </c>
      <c r="C128" s="9">
        <v>3364278585.5474486</v>
      </c>
      <c r="D128" s="9">
        <v>2587906604.267268</v>
      </c>
      <c r="E128" s="9">
        <v>1142257664.099903</v>
      </c>
      <c r="F128" s="9">
        <v>0</v>
      </c>
      <c r="G128" s="9">
        <v>0</v>
      </c>
      <c r="H128" s="9">
        <v>776371981.2801805</v>
      </c>
      <c r="I128" s="9">
        <v>0</v>
      </c>
      <c r="J128" s="9">
        <v>1142257664.099903</v>
      </c>
      <c r="K128" s="9">
        <v>0</v>
      </c>
      <c r="L128" s="0" t="inlineStr">
        <is>
          <t xml:space="preserve">ZERO_RESIDUAL_NO_SALE</t>
        </is>
      </c>
      <c r="M128" s="0" t="inlineStr">
        <is>
          <t xml:space="preserve">DISTRIBUTION</t>
        </is>
      </c>
    </row>
    <row r="129">
      <c r="A129" s="0" t="inlineStr">
        <is>
          <t xml:space="preserve">VG-009</t>
        </is>
      </c>
      <c r="B129" s="23">
        <v>8</v>
      </c>
      <c r="C129" s="9">
        <v>3372584183.1635385</v>
      </c>
      <c r="D129" s="9">
        <v>2594295525.510414</v>
      </c>
      <c r="E129" s="9">
        <v>1142257664.099903</v>
      </c>
      <c r="F129" s="9">
        <v>0</v>
      </c>
      <c r="G129" s="9">
        <v>0</v>
      </c>
      <c r="H129" s="9">
        <v>778288657.6531243</v>
      </c>
      <c r="I129" s="9">
        <v>0</v>
      </c>
      <c r="J129" s="9">
        <v>1142257664.099903</v>
      </c>
      <c r="K129" s="9">
        <v>0</v>
      </c>
      <c r="L129" s="0" t="inlineStr">
        <is>
          <t xml:space="preserve">ZERO_RESIDUAL_NO_SALE</t>
        </is>
      </c>
      <c r="M129" s="0" t="inlineStr">
        <is>
          <t xml:space="preserve">DISTRIBUTION</t>
        </is>
      </c>
    </row>
    <row r="130">
      <c r="A130" s="0" t="inlineStr">
        <is>
          <t xml:space="preserve">VG-009</t>
        </is>
      </c>
      <c r="B130" s="23">
        <v>9</v>
      </c>
      <c r="C130" s="9">
        <v>3380798693.281431</v>
      </c>
      <c r="D130" s="9">
        <v>2600614379.447254</v>
      </c>
      <c r="E130" s="9">
        <v>1142257664.099903</v>
      </c>
      <c r="F130" s="9">
        <v>0</v>
      </c>
      <c r="G130" s="9">
        <v>0</v>
      </c>
      <c r="H130" s="9">
        <v>780184313.834177</v>
      </c>
      <c r="I130" s="9">
        <v>0</v>
      </c>
      <c r="J130" s="9">
        <v>1142257664.099903</v>
      </c>
      <c r="K130" s="9">
        <v>0</v>
      </c>
      <c r="L130" s="0" t="inlineStr">
        <is>
          <t xml:space="preserve">ZERO_RESIDUAL_NO_SALE</t>
        </is>
      </c>
      <c r="M130" s="0" t="inlineStr">
        <is>
          <t xml:space="preserve">DISTRIBUTION</t>
        </is>
      </c>
    </row>
    <row r="131">
      <c r="A131" s="0" t="inlineStr">
        <is>
          <t xml:space="preserve">VG-009</t>
        </is>
      </c>
      <c r="B131" s="23">
        <v>10</v>
      </c>
      <c r="C131" s="9">
        <v>3257284849.6123652</v>
      </c>
      <c r="D131" s="9">
        <v>1121293295.5548944</v>
      </c>
      <c r="E131" s="9">
        <v>1142257664.099903</v>
      </c>
      <c r="F131" s="9">
        <v>0</v>
      </c>
      <c r="G131" s="9">
        <v>0</v>
      </c>
      <c r="H131" s="9">
        <v>2135991554.0574708</v>
      </c>
      <c r="I131" s="9">
        <v>0</v>
      </c>
      <c r="J131" s="9">
        <v>1142257664.099903</v>
      </c>
      <c r="K131" s="9">
        <v>0</v>
      </c>
      <c r="L131" s="0" t="inlineStr">
        <is>
          <t xml:space="preserve">ZERO_RESIDUAL_NO_SALE</t>
        </is>
      </c>
      <c r="M131" s="0" t="inlineStr">
        <is>
          <t xml:space="preserve">DISTRIBUTION</t>
        </is>
      </c>
    </row>
    <row r="132">
      <c r="A132" s="0" t="inlineStr">
        <is>
          <t xml:space="preserve">VG-009</t>
        </is>
      </c>
      <c r="B132" s="23">
        <v>11</v>
      </c>
      <c r="C132" s="9">
        <v>3396942003.273871</v>
      </c>
      <c r="D132" s="9">
        <v>0</v>
      </c>
      <c r="E132" s="9">
        <v>1142257664.099903</v>
      </c>
      <c r="F132" s="9">
        <v>0</v>
      </c>
      <c r="G132" s="9">
        <v>0</v>
      </c>
      <c r="H132" s="9">
        <v>3396942003.273871</v>
      </c>
      <c r="I132" s="9">
        <v>0</v>
      </c>
      <c r="J132" s="9">
        <v>1142257664.099903</v>
      </c>
      <c r="K132" s="9">
        <v>0</v>
      </c>
      <c r="L132" s="0" t="inlineStr">
        <is>
          <t xml:space="preserve">ZERO_RESIDUAL_NO_SALE</t>
        </is>
      </c>
      <c r="M132" s="0" t="inlineStr">
        <is>
          <t xml:space="preserve">DISTRIBUTION</t>
        </is>
      </c>
    </row>
    <row r="133">
      <c r="A133" s="0" t="inlineStr">
        <is>
          <t xml:space="preserve">VG-009</t>
        </is>
      </c>
      <c r="B133" s="23">
        <v>12</v>
      </c>
      <c r="C133" s="9">
        <v>3404864407.3794174</v>
      </c>
      <c r="D133" s="9">
        <v>0</v>
      </c>
      <c r="E133" s="9">
        <v>1142257664.099903</v>
      </c>
      <c r="F133" s="9">
        <v>0</v>
      </c>
      <c r="G133" s="9">
        <v>0</v>
      </c>
      <c r="H133" s="9">
        <v>3404864407.3794174</v>
      </c>
      <c r="I133" s="9">
        <v>0</v>
      </c>
      <c r="J133" s="9">
        <v>1142257664.099903</v>
      </c>
      <c r="K133" s="9">
        <v>0</v>
      </c>
      <c r="L133" s="0" t="inlineStr">
        <is>
          <t xml:space="preserve">ZERO_RESIDUAL_NO_SALE</t>
        </is>
      </c>
      <c r="M133" s="0" t="inlineStr">
        <is>
          <t xml:space="preserve">DISTRIBUTION</t>
        </is>
      </c>
    </row>
    <row r="134">
      <c r="A134" s="0" t="inlineStr">
        <is>
          <t xml:space="preserve">VG-009</t>
        </is>
      </c>
      <c r="B134" s="23">
        <v>13</v>
      </c>
      <c r="C134" s="9">
        <v>3412682929.6303225</v>
      </c>
      <c r="D134" s="9">
        <v>0</v>
      </c>
      <c r="E134" s="9">
        <v>1142257664.099903</v>
      </c>
      <c r="F134" s="9">
        <v>0</v>
      </c>
      <c r="G134" s="9">
        <v>0</v>
      </c>
      <c r="H134" s="9">
        <v>3412682929.6303225</v>
      </c>
      <c r="I134" s="9">
        <v>0</v>
      </c>
      <c r="J134" s="9">
        <v>1142257664.099903</v>
      </c>
      <c r="K134" s="9">
        <v>0</v>
      </c>
      <c r="L134" s="0" t="inlineStr">
        <is>
          <t xml:space="preserve">ZERO_RESIDUAL_NO_SALE</t>
        </is>
      </c>
      <c r="M134" s="0" t="inlineStr">
        <is>
          <t xml:space="preserve">DISTRIBUTION</t>
        </is>
      </c>
    </row>
    <row r="135">
      <c r="A135" s="0" t="inlineStr">
        <is>
          <t xml:space="preserve">VG-009</t>
        </is>
      </c>
      <c r="B135" s="23">
        <v>14</v>
      </c>
      <c r="C135" s="9">
        <v>3420394193.856309</v>
      </c>
      <c r="D135" s="9">
        <v>0</v>
      </c>
      <c r="E135" s="9">
        <v>1142257664.099903</v>
      </c>
      <c r="F135" s="9">
        <v>0</v>
      </c>
      <c r="G135" s="9">
        <v>0</v>
      </c>
      <c r="H135" s="9">
        <v>3420394193.856309</v>
      </c>
      <c r="I135" s="9">
        <v>0</v>
      </c>
      <c r="J135" s="9">
        <v>1142257664.099903</v>
      </c>
      <c r="K135" s="9">
        <v>0</v>
      </c>
      <c r="L135" s="0" t="inlineStr">
        <is>
          <t xml:space="preserve">ZERO_RESIDUAL_NO_SALE</t>
        </is>
      </c>
      <c r="M135" s="0" t="inlineStr">
        <is>
          <t xml:space="preserve">DISTRIBUTION</t>
        </is>
      </c>
    </row>
    <row r="136">
      <c r="A136" s="0" t="inlineStr">
        <is>
          <t xml:space="preserve">VG-009</t>
        </is>
      </c>
      <c r="B136" s="23">
        <v>15</v>
      </c>
      <c r="C136" s="9">
        <v>3797178188.338626</v>
      </c>
      <c r="D136" s="9">
        <v>0</v>
      </c>
      <c r="E136" s="9">
        <v>1142257664.099903</v>
      </c>
      <c r="F136" s="9">
        <v>0</v>
      </c>
      <c r="G136" s="9">
        <v>0</v>
      </c>
      <c r="H136" s="9">
        <v>3797178188.338626</v>
      </c>
      <c r="I136" s="9">
        <v>1142257664.099903</v>
      </c>
      <c r="J136" s="9">
        <v>0</v>
      </c>
      <c r="K136" s="9">
        <v>0</v>
      </c>
      <c r="L136" s="0" t="inlineStr">
        <is>
          <t xml:space="preserve">ZERO_RESIDUAL_NO_SALE</t>
        </is>
      </c>
      <c r="M136" s="0" t="inlineStr">
        <is>
          <t xml:space="preserve">RELEASE</t>
        </is>
      </c>
    </row>
    <row r="137">
      <c r="A137" s="0" t="inlineStr">
        <is>
          <t xml:space="preserve">VG-010</t>
        </is>
      </c>
      <c r="B137" s="23">
        <v>1</v>
      </c>
      <c r="C137" s="9">
        <v>2859968291.3720775</v>
      </c>
      <c r="D137" s="9">
        <v>2199975608.7477517</v>
      </c>
      <c r="E137" s="9">
        <v>0</v>
      </c>
      <c r="F137" s="9">
        <v>1099987804.3738759</v>
      </c>
      <c r="G137" s="9">
        <v>0</v>
      </c>
      <c r="H137" s="9">
        <v>659992682.6243258</v>
      </c>
      <c r="I137" s="9">
        <v>0</v>
      </c>
      <c r="J137" s="9">
        <v>1099987804.3738759</v>
      </c>
      <c r="K137" s="9">
        <v>0</v>
      </c>
      <c r="L137" s="0" t="inlineStr">
        <is>
          <t xml:space="preserve">ZERO_RESIDUAL_NO_SALE</t>
        </is>
      </c>
      <c r="M137" s="0" t="inlineStr">
        <is>
          <t xml:space="preserve">DISTRIBUTION</t>
        </is>
      </c>
    </row>
    <row r="138">
      <c r="A138" s="0" t="inlineStr">
        <is>
          <t xml:space="preserve">VG-010</t>
        </is>
      </c>
      <c r="B138" s="23">
        <v>2</v>
      </c>
      <c r="C138" s="9">
        <v>3198458197.0505</v>
      </c>
      <c r="D138" s="9">
        <v>2460352459.269615</v>
      </c>
      <c r="E138" s="9">
        <v>1099987804.3738759</v>
      </c>
      <c r="F138" s="9">
        <v>0</v>
      </c>
      <c r="G138" s="9">
        <v>0</v>
      </c>
      <c r="H138" s="9">
        <v>738105737.7808847</v>
      </c>
      <c r="I138" s="9">
        <v>0</v>
      </c>
      <c r="J138" s="9">
        <v>1099987804.3738759</v>
      </c>
      <c r="K138" s="9">
        <v>0</v>
      </c>
      <c r="L138" s="0" t="inlineStr">
        <is>
          <t xml:space="preserve">ZERO_RESIDUAL_NO_SALE</t>
        </is>
      </c>
      <c r="M138" s="0" t="inlineStr">
        <is>
          <t xml:space="preserve">DISTRIBUTION</t>
        </is>
      </c>
    </row>
    <row r="139">
      <c r="A139" s="0" t="inlineStr">
        <is>
          <t xml:space="preserve">VG-010</t>
        </is>
      </c>
      <c r="B139" s="23">
        <v>3</v>
      </c>
      <c r="C139" s="9">
        <v>3206566104.0634</v>
      </c>
      <c r="D139" s="9">
        <v>2466589310.818</v>
      </c>
      <c r="E139" s="9">
        <v>1099987804.3738759</v>
      </c>
      <c r="F139" s="9">
        <v>0</v>
      </c>
      <c r="G139" s="9">
        <v>0</v>
      </c>
      <c r="H139" s="9">
        <v>739976793.2454</v>
      </c>
      <c r="I139" s="9">
        <v>0</v>
      </c>
      <c r="J139" s="9">
        <v>1099987804.3738759</v>
      </c>
      <c r="K139" s="9">
        <v>0</v>
      </c>
      <c r="L139" s="0" t="inlineStr">
        <is>
          <t xml:space="preserve">ZERO_RESIDUAL_NO_SALE</t>
        </is>
      </c>
      <c r="M139" s="0" t="inlineStr">
        <is>
          <t xml:space="preserve">DISTRIBUTION</t>
        </is>
      </c>
    </row>
    <row r="140">
      <c r="A140" s="0" t="inlineStr">
        <is>
          <t xml:space="preserve">VG-010</t>
        </is>
      </c>
      <c r="B140" s="23">
        <v>4</v>
      </c>
      <c r="C140" s="9">
        <v>3214594407.4160137</v>
      </c>
      <c r="D140" s="9">
        <v>2472764928.781549</v>
      </c>
      <c r="E140" s="9">
        <v>1099987804.3738759</v>
      </c>
      <c r="F140" s="9">
        <v>0</v>
      </c>
      <c r="G140" s="9">
        <v>0</v>
      </c>
      <c r="H140" s="9">
        <v>741829478.6344647</v>
      </c>
      <c r="I140" s="9">
        <v>0</v>
      </c>
      <c r="J140" s="9">
        <v>1099987804.3738759</v>
      </c>
      <c r="K140" s="9">
        <v>0</v>
      </c>
      <c r="L140" s="0" t="inlineStr">
        <is>
          <t xml:space="preserve">ZERO_RESIDUAL_NO_SALE</t>
        </is>
      </c>
      <c r="M140" s="0" t="inlineStr">
        <is>
          <t xml:space="preserve">DISTRIBUTION</t>
        </is>
      </c>
    </row>
    <row r="141">
      <c r="A141" s="0" t="inlineStr">
        <is>
          <t xml:space="preserve">VG-010</t>
        </is>
      </c>
      <c r="B141" s="23">
        <v>5</v>
      </c>
      <c r="C141" s="9">
        <v>3090906146.9127073</v>
      </c>
      <c r="D141" s="9">
        <v>2377620113.0097747</v>
      </c>
      <c r="E141" s="9">
        <v>1099987804.3738759</v>
      </c>
      <c r="F141" s="9">
        <v>0</v>
      </c>
      <c r="G141" s="9">
        <v>0</v>
      </c>
      <c r="H141" s="9">
        <v>713286033.9029326</v>
      </c>
      <c r="I141" s="9">
        <v>0</v>
      </c>
      <c r="J141" s="9">
        <v>1099987804.3738759</v>
      </c>
      <c r="K141" s="9">
        <v>0</v>
      </c>
      <c r="L141" s="0" t="inlineStr">
        <is>
          <t xml:space="preserve">ZERO_RESIDUAL_NO_SALE</t>
        </is>
      </c>
      <c r="M141" s="0" t="inlineStr">
        <is>
          <t xml:space="preserve">DISTRIBUTION</t>
        </is>
      </c>
    </row>
    <row r="142">
      <c r="A142" s="0" t="inlineStr">
        <is>
          <t xml:space="preserve">VG-010</t>
        </is>
      </c>
      <c r="B142" s="23">
        <v>6</v>
      </c>
      <c r="C142" s="9">
        <v>3230400986.2642584</v>
      </c>
      <c r="D142" s="9">
        <v>2484923835.587891</v>
      </c>
      <c r="E142" s="9">
        <v>1099987804.3738759</v>
      </c>
      <c r="F142" s="9">
        <v>0</v>
      </c>
      <c r="G142" s="9">
        <v>0</v>
      </c>
      <c r="H142" s="9">
        <v>745477150.6763673</v>
      </c>
      <c r="I142" s="9">
        <v>0</v>
      </c>
      <c r="J142" s="9">
        <v>1099987804.3738759</v>
      </c>
      <c r="K142" s="9">
        <v>0</v>
      </c>
      <c r="L142" s="0" t="inlineStr">
        <is>
          <t xml:space="preserve">ZERO_RESIDUAL_NO_SALE</t>
        </is>
      </c>
      <c r="M142" s="0" t="inlineStr">
        <is>
          <t xml:space="preserve">DISTRIBUTION</t>
        </is>
      </c>
    </row>
    <row r="143">
      <c r="A143" s="0" t="inlineStr">
        <is>
          <t xml:space="preserve">VG-010</t>
        </is>
      </c>
      <c r="B143" s="23">
        <v>7</v>
      </c>
      <c r="C143" s="9">
        <v>3238173497.809384</v>
      </c>
      <c r="D143" s="9">
        <v>2490902690.622603</v>
      </c>
      <c r="E143" s="9">
        <v>1099987804.3738759</v>
      </c>
      <c r="F143" s="9">
        <v>0</v>
      </c>
      <c r="G143" s="9">
        <v>0</v>
      </c>
      <c r="H143" s="9">
        <v>747270807.1867809</v>
      </c>
      <c r="I143" s="9">
        <v>0</v>
      </c>
      <c r="J143" s="9">
        <v>1099987804.3738759</v>
      </c>
      <c r="K143" s="9">
        <v>0</v>
      </c>
      <c r="L143" s="0" t="inlineStr">
        <is>
          <t xml:space="preserve">ZERO_RESIDUAL_NO_SALE</t>
        </is>
      </c>
      <c r="M143" s="0" t="inlineStr">
        <is>
          <t xml:space="preserve">DISTRIBUTION</t>
        </is>
      </c>
    </row>
    <row r="144">
      <c r="A144" s="0" t="inlineStr">
        <is>
          <t xml:space="preserve">VG-010</t>
        </is>
      </c>
      <c r="B144" s="23">
        <v>8</v>
      </c>
      <c r="C144" s="9">
        <v>3245854875.24117</v>
      </c>
      <c r="D144" s="9">
        <v>2496811442.4932075</v>
      </c>
      <c r="E144" s="9">
        <v>1099987804.3738759</v>
      </c>
      <c r="F144" s="9">
        <v>0</v>
      </c>
      <c r="G144" s="9">
        <v>0</v>
      </c>
      <c r="H144" s="9">
        <v>749043432.7479625</v>
      </c>
      <c r="I144" s="9">
        <v>0</v>
      </c>
      <c r="J144" s="9">
        <v>1099987804.3738759</v>
      </c>
      <c r="K144" s="9">
        <v>0</v>
      </c>
      <c r="L144" s="0" t="inlineStr">
        <is>
          <t xml:space="preserve">ZERO_RESIDUAL_NO_SALE</t>
        </is>
      </c>
      <c r="M144" s="0" t="inlineStr">
        <is>
          <t xml:space="preserve">DISTRIBUTION</t>
        </is>
      </c>
    </row>
    <row r="145">
      <c r="A145" s="0" t="inlineStr">
        <is>
          <t xml:space="preserve">VG-010</t>
        </is>
      </c>
      <c r="B145" s="23">
        <v>9</v>
      </c>
      <c r="C145" s="9">
        <v>3253442075.284847</v>
      </c>
      <c r="D145" s="9">
        <v>2502647750.219113</v>
      </c>
      <c r="E145" s="9">
        <v>1099987804.3738759</v>
      </c>
      <c r="F145" s="9">
        <v>0</v>
      </c>
      <c r="G145" s="9">
        <v>0</v>
      </c>
      <c r="H145" s="9">
        <v>750794325.0657339</v>
      </c>
      <c r="I145" s="9">
        <v>0</v>
      </c>
      <c r="J145" s="9">
        <v>1099987804.3738759</v>
      </c>
      <c r="K145" s="9">
        <v>0</v>
      </c>
      <c r="L145" s="0" t="inlineStr">
        <is>
          <t xml:space="preserve">ZERO_RESIDUAL_NO_SALE</t>
        </is>
      </c>
      <c r="M145" s="0" t="inlineStr">
        <is>
          <t xml:space="preserve">DISTRIBUTION</t>
        </is>
      </c>
    </row>
    <row r="146">
      <c r="A146" s="0" t="inlineStr">
        <is>
          <t xml:space="preserve">VG-010</t>
        </is>
      </c>
      <c r="B146" s="23">
        <v>10</v>
      </c>
      <c r="C146" s="9">
        <v>3129297816.356698</v>
      </c>
      <c r="D146" s="9">
        <v>1074835152.7660584</v>
      </c>
      <c r="E146" s="9">
        <v>1099987804.3738759</v>
      </c>
      <c r="F146" s="9">
        <v>0</v>
      </c>
      <c r="G146" s="9">
        <v>0</v>
      </c>
      <c r="H146" s="9">
        <v>2054462663.5906396</v>
      </c>
      <c r="I146" s="9">
        <v>0</v>
      </c>
      <c r="J146" s="9">
        <v>1099987804.3738759</v>
      </c>
      <c r="K146" s="9">
        <v>0</v>
      </c>
      <c r="L146" s="0" t="inlineStr">
        <is>
          <t xml:space="preserve">ZERO_RESIDUAL_NO_SALE</t>
        </is>
      </c>
      <c r="M146" s="0" t="inlineStr">
        <is>
          <t xml:space="preserve">DISTRIBUTION</t>
        </is>
      </c>
    </row>
    <row r="147">
      <c r="A147" s="0" t="inlineStr">
        <is>
          <t xml:space="preserve">VG-010</t>
        </is>
      </c>
      <c r="B147" s="23">
        <v>11</v>
      </c>
      <c r="C147" s="9">
        <v>3268321434.203588</v>
      </c>
      <c r="D147" s="9">
        <v>0</v>
      </c>
      <c r="E147" s="9">
        <v>1099987804.3738759</v>
      </c>
      <c r="F147" s="9">
        <v>0</v>
      </c>
      <c r="G147" s="9">
        <v>0</v>
      </c>
      <c r="H147" s="9">
        <v>3268321434.203588</v>
      </c>
      <c r="I147" s="9">
        <v>0</v>
      </c>
      <c r="J147" s="9">
        <v>1099987804.3738759</v>
      </c>
      <c r="K147" s="9">
        <v>0</v>
      </c>
      <c r="L147" s="0" t="inlineStr">
        <is>
          <t xml:space="preserve">ZERO_RESIDUAL_NO_SALE</t>
        </is>
      </c>
      <c r="M147" s="0" t="inlineStr">
        <is>
          <t xml:space="preserve">DISTRIBUTION</t>
        </is>
      </c>
    </row>
    <row r="148">
      <c r="A148" s="0" t="inlineStr">
        <is>
          <t xml:space="preserve">VG-010</t>
        </is>
      </c>
      <c r="B148" s="23">
        <v>12</v>
      </c>
      <c r="C148" s="9">
        <v>3275607166.492236</v>
      </c>
      <c r="D148" s="9">
        <v>0</v>
      </c>
      <c r="E148" s="9">
        <v>1099987804.3738759</v>
      </c>
      <c r="F148" s="9">
        <v>0</v>
      </c>
      <c r="G148" s="9">
        <v>0</v>
      </c>
      <c r="H148" s="9">
        <v>3275607166.492236</v>
      </c>
      <c r="I148" s="9">
        <v>0</v>
      </c>
      <c r="J148" s="9">
        <v>1099987804.3738759</v>
      </c>
      <c r="K148" s="9">
        <v>0</v>
      </c>
      <c r="L148" s="0" t="inlineStr">
        <is>
          <t xml:space="preserve">ZERO_RESIDUAL_NO_SALE</t>
        </is>
      </c>
      <c r="M148" s="0" t="inlineStr">
        <is>
          <t xml:space="preserve">DISTRIBUTION</t>
        </is>
      </c>
    </row>
    <row r="149">
      <c r="A149" s="0" t="inlineStr">
        <is>
          <t xml:space="preserve">VG-010</t>
        </is>
      </c>
      <c r="B149" s="23">
        <v>13</v>
      </c>
      <c r="C149" s="9">
        <v>3282785865.40075</v>
      </c>
      <c r="D149" s="9">
        <v>0</v>
      </c>
      <c r="E149" s="9">
        <v>1099987804.3738759</v>
      </c>
      <c r="F149" s="9">
        <v>0</v>
      </c>
      <c r="G149" s="9">
        <v>0</v>
      </c>
      <c r="H149" s="9">
        <v>3282785865.40075</v>
      </c>
      <c r="I149" s="9">
        <v>0</v>
      </c>
      <c r="J149" s="9">
        <v>1099987804.3738759</v>
      </c>
      <c r="K149" s="9">
        <v>0</v>
      </c>
      <c r="L149" s="0" t="inlineStr">
        <is>
          <t xml:space="preserve">ZERO_RESIDUAL_NO_SALE</t>
        </is>
      </c>
      <c r="M149" s="0" t="inlineStr">
        <is>
          <t xml:space="preserve">DISTRIBUTION</t>
        </is>
      </c>
    </row>
    <row r="150">
      <c r="A150" s="0" t="inlineStr">
        <is>
          <t xml:space="preserve">VG-010</t>
        </is>
      </c>
      <c r="B150" s="23">
        <v>14</v>
      </c>
      <c r="C150" s="9">
        <v>3289854139.1588</v>
      </c>
      <c r="D150" s="9">
        <v>0</v>
      </c>
      <c r="E150" s="9">
        <v>1099987804.3738759</v>
      </c>
      <c r="F150" s="9">
        <v>0</v>
      </c>
      <c r="G150" s="9">
        <v>0</v>
      </c>
      <c r="H150" s="9">
        <v>3289854139.1588</v>
      </c>
      <c r="I150" s="9">
        <v>0</v>
      </c>
      <c r="J150" s="9">
        <v>1099987804.3738759</v>
      </c>
      <c r="K150" s="9">
        <v>0</v>
      </c>
      <c r="L150" s="0" t="inlineStr">
        <is>
          <t xml:space="preserve">ZERO_RESIDUAL_NO_SALE</t>
        </is>
      </c>
      <c r="M150" s="0" t="inlineStr">
        <is>
          <t xml:space="preserve">DISTRIBUTION</t>
        </is>
      </c>
    </row>
    <row r="151">
      <c r="A151" s="0" t="inlineStr">
        <is>
          <t xml:space="preserve">VG-010</t>
        </is>
      </c>
      <c r="B151" s="23">
        <v>15</v>
      </c>
      <c r="C151" s="9">
        <v>3652507099.146461</v>
      </c>
      <c r="D151" s="9">
        <v>0</v>
      </c>
      <c r="E151" s="9">
        <v>1099987804.3738759</v>
      </c>
      <c r="F151" s="9">
        <v>0</v>
      </c>
      <c r="G151" s="9">
        <v>0</v>
      </c>
      <c r="H151" s="9">
        <v>3652507099.146461</v>
      </c>
      <c r="I151" s="9">
        <v>1099987804.3738759</v>
      </c>
      <c r="J151" s="9">
        <v>0</v>
      </c>
      <c r="K151" s="9">
        <v>0</v>
      </c>
      <c r="L151" s="0" t="inlineStr">
        <is>
          <t xml:space="preserve">ZERO_RESIDUAL_NO_SALE</t>
        </is>
      </c>
      <c r="M151" s="0" t="inlineStr">
        <is>
          <t xml:space="preserve">RELEASE</t>
        </is>
      </c>
    </row>
    <row r="152">
      <c r="A152" s="0" t="inlineStr">
        <is>
          <t xml:space="preserve">VG-011</t>
        </is>
      </c>
      <c r="B152" s="23">
        <v>1</v>
      </c>
      <c r="C152" s="9">
        <v>2669057123.4836035</v>
      </c>
      <c r="D152" s="9">
        <v>2053120864.2181563</v>
      </c>
      <c r="E152" s="9">
        <v>0</v>
      </c>
      <c r="F152" s="9">
        <v>1026560432.109078</v>
      </c>
      <c r="G152" s="9">
        <v>0</v>
      </c>
      <c r="H152" s="9">
        <v>615936259.2654471</v>
      </c>
      <c r="I152" s="9">
        <v>0</v>
      </c>
      <c r="J152" s="9">
        <v>1026560432.109078</v>
      </c>
      <c r="K152" s="9">
        <v>0</v>
      </c>
      <c r="L152" s="0" t="inlineStr">
        <is>
          <t xml:space="preserve">ZERO_RESIDUAL_NO_SALE</t>
        </is>
      </c>
      <c r="M152" s="0" t="inlineStr">
        <is>
          <t xml:space="preserve">DISTRIBUTION</t>
        </is>
      </c>
    </row>
    <row r="153">
      <c r="A153" s="0" t="inlineStr">
        <is>
          <t xml:space="preserve">VG-011</t>
        </is>
      </c>
      <c r="B153" s="23">
        <v>2</v>
      </c>
      <c r="C153" s="9">
        <v>2984983824.7688203</v>
      </c>
      <c r="D153" s="9">
        <v>2296141403.668323</v>
      </c>
      <c r="E153" s="9">
        <v>1026560432.109078</v>
      </c>
      <c r="F153" s="9">
        <v>0</v>
      </c>
      <c r="G153" s="9">
        <v>0</v>
      </c>
      <c r="H153" s="9">
        <v>688842421.1004972</v>
      </c>
      <c r="I153" s="9">
        <v>0</v>
      </c>
      <c r="J153" s="9">
        <v>1026560432.109078</v>
      </c>
      <c r="K153" s="9">
        <v>0</v>
      </c>
      <c r="L153" s="0" t="inlineStr">
        <is>
          <t xml:space="preserve">ZERO_RESIDUAL_NO_SALE</t>
        </is>
      </c>
      <c r="M153" s="0" t="inlineStr">
        <is>
          <t xml:space="preserve">DISTRIBUTION</t>
        </is>
      </c>
    </row>
    <row r="154">
      <c r="A154" s="0" t="inlineStr">
        <is>
          <t xml:space="preserve">VG-011</t>
        </is>
      </c>
      <c r="B154" s="23">
        <v>3</v>
      </c>
      <c r="C154" s="9">
        <v>2992629222.951426</v>
      </c>
      <c r="D154" s="9">
        <v>2302022479.1934047</v>
      </c>
      <c r="E154" s="9">
        <v>1026560432.109078</v>
      </c>
      <c r="F154" s="9">
        <v>0</v>
      </c>
      <c r="G154" s="9">
        <v>0</v>
      </c>
      <c r="H154" s="9">
        <v>690606743.7580214</v>
      </c>
      <c r="I154" s="9">
        <v>0</v>
      </c>
      <c r="J154" s="9">
        <v>1026560432.109078</v>
      </c>
      <c r="K154" s="9">
        <v>0</v>
      </c>
      <c r="L154" s="0" t="inlineStr">
        <is>
          <t xml:space="preserve">ZERO_RESIDUAL_NO_SALE</t>
        </is>
      </c>
      <c r="M154" s="0" t="inlineStr">
        <is>
          <t xml:space="preserve">DISTRIBUTION</t>
        </is>
      </c>
    </row>
    <row r="155">
      <c r="A155" s="0" t="inlineStr">
        <is>
          <t xml:space="preserve">VG-011</t>
        </is>
      </c>
      <c r="B155" s="23">
        <v>4</v>
      </c>
      <c r="C155" s="9">
        <v>3000201938.6550355</v>
      </c>
      <c r="D155" s="9">
        <v>2307847645.119258</v>
      </c>
      <c r="E155" s="9">
        <v>1026560432.109078</v>
      </c>
      <c r="F155" s="9">
        <v>0</v>
      </c>
      <c r="G155" s="9">
        <v>0</v>
      </c>
      <c r="H155" s="9">
        <v>692354293.5357776</v>
      </c>
      <c r="I155" s="9">
        <v>0</v>
      </c>
      <c r="J155" s="9">
        <v>1026560432.109078</v>
      </c>
      <c r="K155" s="9">
        <v>0</v>
      </c>
      <c r="L155" s="0" t="inlineStr">
        <is>
          <t xml:space="preserve">ZERO_RESIDUAL_NO_SALE</t>
        </is>
      </c>
      <c r="M155" s="0" t="inlineStr">
        <is>
          <t xml:space="preserve">DISTRIBUTION</t>
        </is>
      </c>
    </row>
    <row r="156">
      <c r="A156" s="0" t="inlineStr">
        <is>
          <t xml:space="preserve">VG-011</t>
        </is>
      </c>
      <c r="B156" s="23">
        <v>5</v>
      </c>
      <c r="C156" s="9">
        <v>2886190935.6482863</v>
      </c>
      <c r="D156" s="9">
        <v>2220146873.575605</v>
      </c>
      <c r="E156" s="9">
        <v>1026560432.109078</v>
      </c>
      <c r="F156" s="9">
        <v>0</v>
      </c>
      <c r="G156" s="9">
        <v>0</v>
      </c>
      <c r="H156" s="9">
        <v>666044062.0726814</v>
      </c>
      <c r="I156" s="9">
        <v>0</v>
      </c>
      <c r="J156" s="9">
        <v>1026560432.109078</v>
      </c>
      <c r="K156" s="9">
        <v>0</v>
      </c>
      <c r="L156" s="0" t="inlineStr">
        <is>
          <t xml:space="preserve">ZERO_RESIDUAL_NO_SALE</t>
        </is>
      </c>
      <c r="M156" s="0" t="inlineStr">
        <is>
          <t xml:space="preserve">DISTRIBUTION</t>
        </is>
      </c>
    </row>
    <row r="157">
      <c r="A157" s="0" t="inlineStr">
        <is>
          <t xml:space="preserve">VG-011</t>
        </is>
      </c>
      <c r="B157" s="23">
        <v>6</v>
      </c>
      <c r="C157" s="9">
        <v>3015118984.402207</v>
      </c>
      <c r="D157" s="9">
        <v>2319322295.694005</v>
      </c>
      <c r="E157" s="9">
        <v>1026560432.109078</v>
      </c>
      <c r="F157" s="9">
        <v>0</v>
      </c>
      <c r="G157" s="9">
        <v>0</v>
      </c>
      <c r="H157" s="9">
        <v>695796688.7082019</v>
      </c>
      <c r="I157" s="9">
        <v>0</v>
      </c>
      <c r="J157" s="9">
        <v>1026560432.109078</v>
      </c>
      <c r="K157" s="9">
        <v>0</v>
      </c>
      <c r="L157" s="0" t="inlineStr">
        <is>
          <t xml:space="preserve">ZERO_RESIDUAL_NO_SALE</t>
        </is>
      </c>
      <c r="M157" s="0" t="inlineStr">
        <is>
          <t xml:space="preserve">DISTRIBUTION</t>
        </is>
      </c>
    </row>
    <row r="158">
      <c r="A158" s="0" t="inlineStr">
        <is>
          <t xml:space="preserve">VG-011</t>
        </is>
      </c>
      <c r="B158" s="23">
        <v>7</v>
      </c>
      <c r="C158" s="9">
        <v>3022458001.8332605</v>
      </c>
      <c r="D158" s="9">
        <v>2324967693.7178926</v>
      </c>
      <c r="E158" s="9">
        <v>1026560432.109078</v>
      </c>
      <c r="F158" s="9">
        <v>0</v>
      </c>
      <c r="G158" s="9">
        <v>0</v>
      </c>
      <c r="H158" s="9">
        <v>697490308.1153679</v>
      </c>
      <c r="I158" s="9">
        <v>0</v>
      </c>
      <c r="J158" s="9">
        <v>1026560432.109078</v>
      </c>
      <c r="K158" s="9">
        <v>0</v>
      </c>
      <c r="L158" s="0" t="inlineStr">
        <is>
          <t xml:space="preserve">ZERO_RESIDUAL_NO_SALE</t>
        </is>
      </c>
      <c r="M158" s="0" t="inlineStr">
        <is>
          <t xml:space="preserve">DISTRIBUTION</t>
        </is>
      </c>
    </row>
    <row r="159">
      <c r="A159" s="0" t="inlineStr">
        <is>
          <t xml:space="preserve">VG-011</t>
        </is>
      </c>
      <c r="B159" s="23">
        <v>8</v>
      </c>
      <c r="C159" s="9">
        <v>3029713709.204763</v>
      </c>
      <c r="D159" s="9">
        <v>2330549007.080587</v>
      </c>
      <c r="E159" s="9">
        <v>1026560432.109078</v>
      </c>
      <c r="F159" s="9">
        <v>0</v>
      </c>
      <c r="G159" s="9">
        <v>0</v>
      </c>
      <c r="H159" s="9">
        <v>699164702.124176</v>
      </c>
      <c r="I159" s="9">
        <v>0</v>
      </c>
      <c r="J159" s="9">
        <v>1026560432.109078</v>
      </c>
      <c r="K159" s="9">
        <v>0</v>
      </c>
      <c r="L159" s="0" t="inlineStr">
        <is>
          <t xml:space="preserve">ZERO_RESIDUAL_NO_SALE</t>
        </is>
      </c>
      <c r="M159" s="0" t="inlineStr">
        <is>
          <t xml:space="preserve">DISTRIBUTION</t>
        </is>
      </c>
    </row>
    <row r="160">
      <c r="A160" s="0" t="inlineStr">
        <is>
          <t xml:space="preserve">VG-011</t>
        </is>
      </c>
      <c r="B160" s="23">
        <v>9</v>
      </c>
      <c r="C160" s="9">
        <v>3036883301.368002</v>
      </c>
      <c r="D160" s="9">
        <v>2336064077.975386</v>
      </c>
      <c r="E160" s="9">
        <v>1026560432.109078</v>
      </c>
      <c r="F160" s="9">
        <v>0</v>
      </c>
      <c r="G160" s="9">
        <v>0</v>
      </c>
      <c r="H160" s="9">
        <v>700819223.3926158</v>
      </c>
      <c r="I160" s="9">
        <v>0</v>
      </c>
      <c r="J160" s="9">
        <v>1026560432.109078</v>
      </c>
      <c r="K160" s="9">
        <v>0</v>
      </c>
      <c r="L160" s="0" t="inlineStr">
        <is>
          <t xml:space="preserve">ZERO_RESIDUAL_NO_SALE</t>
        </is>
      </c>
      <c r="M160" s="0" t="inlineStr">
        <is>
          <t xml:space="preserve">DISTRIBUTION</t>
        </is>
      </c>
    </row>
    <row r="161">
      <c r="A161" s="0" t="inlineStr">
        <is>
          <t xml:space="preserve">VG-011</t>
        </is>
      </c>
      <c r="B161" s="23">
        <v>10</v>
      </c>
      <c r="C161" s="9">
        <v>2922455445.524412</v>
      </c>
      <c r="D161" s="9">
        <v>1004451064.2273594</v>
      </c>
      <c r="E161" s="9">
        <v>1026560432.109078</v>
      </c>
      <c r="F161" s="9">
        <v>0</v>
      </c>
      <c r="G161" s="9">
        <v>0</v>
      </c>
      <c r="H161" s="9">
        <v>1918004381.2970529</v>
      </c>
      <c r="I161" s="9">
        <v>0</v>
      </c>
      <c r="J161" s="9">
        <v>1026560432.109078</v>
      </c>
      <c r="K161" s="9">
        <v>0</v>
      </c>
      <c r="L161" s="0" t="inlineStr">
        <is>
          <t xml:space="preserve">ZERO_RESIDUAL_NO_SALE</t>
        </is>
      </c>
      <c r="M161" s="0" t="inlineStr">
        <is>
          <t xml:space="preserve">DISTRIBUTION</t>
        </is>
      </c>
    </row>
    <row r="162">
      <c r="A162" s="0" t="inlineStr">
        <is>
          <t xml:space="preserve">VG-011</t>
        </is>
      </c>
      <c r="B162" s="23">
        <v>11</v>
      </c>
      <c r="C162" s="9">
        <v>3050952609.5083036</v>
      </c>
      <c r="D162" s="9">
        <v>0</v>
      </c>
      <c r="E162" s="9">
        <v>1026560432.109078</v>
      </c>
      <c r="F162" s="9">
        <v>0</v>
      </c>
      <c r="G162" s="9">
        <v>0</v>
      </c>
      <c r="H162" s="9">
        <v>3050952609.5083036</v>
      </c>
      <c r="I162" s="9">
        <v>0</v>
      </c>
      <c r="J162" s="9">
        <v>1026560432.109078</v>
      </c>
      <c r="K162" s="9">
        <v>0</v>
      </c>
      <c r="L162" s="0" t="inlineStr">
        <is>
          <t xml:space="preserve">ZERO_RESIDUAL_NO_SALE</t>
        </is>
      </c>
      <c r="M162" s="0" t="inlineStr">
        <is>
          <t xml:space="preserve">DISTRIBUTION</t>
        </is>
      </c>
    </row>
    <row r="163">
      <c r="A163" s="0" t="inlineStr">
        <is>
          <t xml:space="preserve">VG-011</t>
        </is>
      </c>
      <c r="B163" s="23">
        <v>12</v>
      </c>
      <c r="C163" s="9">
        <v>3057846401.407838</v>
      </c>
      <c r="D163" s="9">
        <v>0</v>
      </c>
      <c r="E163" s="9">
        <v>1026560432.109078</v>
      </c>
      <c r="F163" s="9">
        <v>0</v>
      </c>
      <c r="G163" s="9">
        <v>0</v>
      </c>
      <c r="H163" s="9">
        <v>3057846401.407838</v>
      </c>
      <c r="I163" s="9">
        <v>0</v>
      </c>
      <c r="J163" s="9">
        <v>1026560432.109078</v>
      </c>
      <c r="K163" s="9">
        <v>0</v>
      </c>
      <c r="L163" s="0" t="inlineStr">
        <is>
          <t xml:space="preserve">ZERO_RESIDUAL_NO_SALE</t>
        </is>
      </c>
      <c r="M163" s="0" t="inlineStr">
        <is>
          <t xml:space="preserve">DISTRIBUTION</t>
        </is>
      </c>
    </row>
    <row r="164">
      <c r="A164" s="0" t="inlineStr">
        <is>
          <t xml:space="preserve">VG-011</t>
        </is>
      </c>
      <c r="B164" s="23">
        <v>13</v>
      </c>
      <c r="C164" s="9">
        <v>3064642227.3419247</v>
      </c>
      <c r="D164" s="9">
        <v>0</v>
      </c>
      <c r="E164" s="9">
        <v>1026560432.109078</v>
      </c>
      <c r="F164" s="9">
        <v>0</v>
      </c>
      <c r="G164" s="9">
        <v>0</v>
      </c>
      <c r="H164" s="9">
        <v>3064642227.3419247</v>
      </c>
      <c r="I164" s="9">
        <v>0</v>
      </c>
      <c r="J164" s="9">
        <v>1026560432.109078</v>
      </c>
      <c r="K164" s="9">
        <v>0</v>
      </c>
      <c r="L164" s="0" t="inlineStr">
        <is>
          <t xml:space="preserve">ZERO_RESIDUAL_NO_SALE</t>
        </is>
      </c>
      <c r="M164" s="0" t="inlineStr">
        <is>
          <t xml:space="preserve">DISTRIBUTION</t>
        </is>
      </c>
    </row>
    <row r="165">
      <c r="A165" s="0" t="inlineStr">
        <is>
          <t xml:space="preserve">VG-011</t>
        </is>
      </c>
      <c r="B165" s="23">
        <v>14</v>
      </c>
      <c r="C165" s="9">
        <v>3071336960.5743275</v>
      </c>
      <c r="D165" s="9">
        <v>0</v>
      </c>
      <c r="E165" s="9">
        <v>1026560432.109078</v>
      </c>
      <c r="F165" s="9">
        <v>0</v>
      </c>
      <c r="G165" s="9">
        <v>0</v>
      </c>
      <c r="H165" s="9">
        <v>3071336960.5743275</v>
      </c>
      <c r="I165" s="9">
        <v>0</v>
      </c>
      <c r="J165" s="9">
        <v>1026560432.109078</v>
      </c>
      <c r="K165" s="9">
        <v>0</v>
      </c>
      <c r="L165" s="0" t="inlineStr">
        <is>
          <t xml:space="preserve">ZERO_RESIDUAL_NO_SALE</t>
        </is>
      </c>
      <c r="M165" s="0" t="inlineStr">
        <is>
          <t xml:space="preserve">DISTRIBUTION</t>
        </is>
      </c>
    </row>
    <row r="166">
      <c r="A166" s="0" t="inlineStr">
        <is>
          <t xml:space="preserve">VG-011</t>
        </is>
      </c>
      <c r="B166" s="23">
        <v>15</v>
      </c>
      <c r="C166" s="9">
        <v>3409833436.2656655</v>
      </c>
      <c r="D166" s="9">
        <v>0</v>
      </c>
      <c r="E166" s="9">
        <v>1026560432.109078</v>
      </c>
      <c r="F166" s="9">
        <v>0</v>
      </c>
      <c r="G166" s="9">
        <v>0</v>
      </c>
      <c r="H166" s="9">
        <v>3409833436.2656655</v>
      </c>
      <c r="I166" s="9">
        <v>1026560432.109078</v>
      </c>
      <c r="J166" s="9">
        <v>0</v>
      </c>
      <c r="K166" s="9">
        <v>0</v>
      </c>
      <c r="L166" s="0" t="inlineStr">
        <is>
          <t xml:space="preserve">ZERO_RESIDUAL_NO_SALE</t>
        </is>
      </c>
      <c r="M166" s="0" t="inlineStr">
        <is>
          <t xml:space="preserve">RELEASE</t>
        </is>
      </c>
    </row>
    <row r="167">
      <c r="A167" s="0" t="inlineStr">
        <is>
          <t xml:space="preserve">VG-012</t>
        </is>
      </c>
      <c r="B167" s="23">
        <v>1</v>
      </c>
      <c r="C167" s="9">
        <v>2474223030.169503</v>
      </c>
      <c r="D167" s="9">
        <v>1903248484.7457716</v>
      </c>
      <c r="E167" s="9">
        <v>0</v>
      </c>
      <c r="F167" s="9">
        <v>951624242.3728858</v>
      </c>
      <c r="G167" s="9">
        <v>0</v>
      </c>
      <c r="H167" s="9">
        <v>570974545.4237316</v>
      </c>
      <c r="I167" s="9">
        <v>0</v>
      </c>
      <c r="J167" s="9">
        <v>951624242.3728858</v>
      </c>
      <c r="K167" s="9">
        <v>0</v>
      </c>
      <c r="L167" s="0" t="inlineStr">
        <is>
          <t xml:space="preserve">ZERO_RESIDUAL_NO_SALE</t>
        </is>
      </c>
      <c r="M167" s="0" t="inlineStr">
        <is>
          <t xml:space="preserve">DISTRIBUTION</t>
        </is>
      </c>
    </row>
    <row r="168">
      <c r="A168" s="0" t="inlineStr">
        <is>
          <t xml:space="preserve">VG-012</t>
        </is>
      </c>
      <c r="B168" s="23">
        <v>2</v>
      </c>
      <c r="C168" s="9">
        <v>2766996987.0065985</v>
      </c>
      <c r="D168" s="9">
        <v>2128459220.7743065</v>
      </c>
      <c r="E168" s="9">
        <v>951624242.3728858</v>
      </c>
      <c r="F168" s="9">
        <v>0</v>
      </c>
      <c r="G168" s="9">
        <v>0</v>
      </c>
      <c r="H168" s="9">
        <v>638537766.2322919</v>
      </c>
      <c r="I168" s="9">
        <v>0</v>
      </c>
      <c r="J168" s="9">
        <v>951624242.3728858</v>
      </c>
      <c r="K168" s="9">
        <v>0</v>
      </c>
      <c r="L168" s="0" t="inlineStr">
        <is>
          <t xml:space="preserve">ZERO_RESIDUAL_NO_SALE</t>
        </is>
      </c>
      <c r="M168" s="0" t="inlineStr">
        <is>
          <t xml:space="preserve">DISTRIBUTION</t>
        </is>
      </c>
    </row>
    <row r="169">
      <c r="A169" s="0" t="inlineStr">
        <is>
          <t xml:space="preserve">VG-012</t>
        </is>
      </c>
      <c r="B169" s="23">
        <v>3</v>
      </c>
      <c r="C169" s="9">
        <v>2773860444.998532</v>
      </c>
      <c r="D169" s="9">
        <v>2133738803.8450243</v>
      </c>
      <c r="E169" s="9">
        <v>951624242.3728858</v>
      </c>
      <c r="F169" s="9">
        <v>0</v>
      </c>
      <c r="G169" s="9">
        <v>0</v>
      </c>
      <c r="H169" s="9">
        <v>640121641.1535075</v>
      </c>
      <c r="I169" s="9">
        <v>0</v>
      </c>
      <c r="J169" s="9">
        <v>951624242.3728858</v>
      </c>
      <c r="K169" s="9">
        <v>0</v>
      </c>
      <c r="L169" s="0" t="inlineStr">
        <is>
          <t xml:space="preserve">ZERO_RESIDUAL_NO_SALE</t>
        </is>
      </c>
      <c r="M169" s="0" t="inlineStr">
        <is>
          <t xml:space="preserve">DISTRIBUTION</t>
        </is>
      </c>
    </row>
    <row r="170">
      <c r="A170" s="0" t="inlineStr">
        <is>
          <t xml:space="preserve">VG-012</t>
        </is>
      </c>
      <c r="B170" s="23">
        <v>4</v>
      </c>
      <c r="C170" s="9">
        <v>2780651955.2075243</v>
      </c>
      <c r="D170" s="9">
        <v>2138963042.4673266</v>
      </c>
      <c r="E170" s="9">
        <v>951624242.3728858</v>
      </c>
      <c r="F170" s="9">
        <v>0</v>
      </c>
      <c r="G170" s="9">
        <v>0</v>
      </c>
      <c r="H170" s="9">
        <v>641688912.7401977</v>
      </c>
      <c r="I170" s="9">
        <v>0</v>
      </c>
      <c r="J170" s="9">
        <v>951624242.3728858</v>
      </c>
      <c r="K170" s="9">
        <v>0</v>
      </c>
      <c r="L170" s="0" t="inlineStr">
        <is>
          <t xml:space="preserve">ZERO_RESIDUAL_NO_SALE</t>
        </is>
      </c>
      <c r="M170" s="0" t="inlineStr">
        <is>
          <t xml:space="preserve">DISTRIBUTION</t>
        </is>
      </c>
    </row>
    <row r="171">
      <c r="A171" s="0" t="inlineStr">
        <is>
          <t xml:space="preserve">VG-012</t>
        </is>
      </c>
      <c r="B171" s="23">
        <v>5</v>
      </c>
      <c r="C171" s="9">
        <v>2670923429.8911724</v>
      </c>
      <c r="D171" s="9">
        <v>2054556484.531671</v>
      </c>
      <c r="E171" s="9">
        <v>951624242.3728858</v>
      </c>
      <c r="F171" s="9">
        <v>0</v>
      </c>
      <c r="G171" s="9">
        <v>0</v>
      </c>
      <c r="H171" s="9">
        <v>616366945.3595014</v>
      </c>
      <c r="I171" s="9">
        <v>0</v>
      </c>
      <c r="J171" s="9">
        <v>951624242.3728858</v>
      </c>
      <c r="K171" s="9">
        <v>0</v>
      </c>
      <c r="L171" s="0" t="inlineStr">
        <is>
          <t xml:space="preserve">ZERO_RESIDUAL_NO_SALE</t>
        </is>
      </c>
      <c r="M171" s="0" t="inlineStr">
        <is>
          <t xml:space="preserve">DISTRIBUTION</t>
        </is>
      </c>
    </row>
    <row r="172">
      <c r="A172" s="0" t="inlineStr">
        <is>
          <t xml:space="preserve">VG-012</t>
        </is>
      </c>
      <c r="B172" s="23">
        <v>6</v>
      </c>
      <c r="C172" s="9">
        <v>2794009179.340659</v>
      </c>
      <c r="D172" s="9">
        <v>2149237830.2620454</v>
      </c>
      <c r="E172" s="9">
        <v>951624242.3728858</v>
      </c>
      <c r="F172" s="9">
        <v>0</v>
      </c>
      <c r="G172" s="9">
        <v>0</v>
      </c>
      <c r="H172" s="9">
        <v>644771349.0786138</v>
      </c>
      <c r="I172" s="9">
        <v>0</v>
      </c>
      <c r="J172" s="9">
        <v>951624242.3728858</v>
      </c>
      <c r="K172" s="9">
        <v>0</v>
      </c>
      <c r="L172" s="0" t="inlineStr">
        <is>
          <t xml:space="preserve">ZERO_RESIDUAL_NO_SALE</t>
        </is>
      </c>
      <c r="M172" s="0" t="inlineStr">
        <is>
          <t xml:space="preserve">DISTRIBUTION</t>
        </is>
      </c>
    </row>
    <row r="173">
      <c r="A173" s="0" t="inlineStr">
        <is>
          <t xml:space="preserve">VG-012</t>
        </is>
      </c>
      <c r="B173" s="23">
        <v>7</v>
      </c>
      <c r="C173" s="9">
        <v>2800569779.13423</v>
      </c>
      <c r="D173" s="9">
        <v>2154284445.4878693</v>
      </c>
      <c r="E173" s="9">
        <v>951624242.3728858</v>
      </c>
      <c r="F173" s="9">
        <v>0</v>
      </c>
      <c r="G173" s="9">
        <v>0</v>
      </c>
      <c r="H173" s="9">
        <v>646285333.6463609</v>
      </c>
      <c r="I173" s="9">
        <v>0</v>
      </c>
      <c r="J173" s="9">
        <v>951624242.3728858</v>
      </c>
      <c r="K173" s="9">
        <v>0</v>
      </c>
      <c r="L173" s="0" t="inlineStr">
        <is>
          <t xml:space="preserve">ZERO_RESIDUAL_NO_SALE</t>
        </is>
      </c>
      <c r="M173" s="0" t="inlineStr">
        <is>
          <t xml:space="preserve">DISTRIBUTION</t>
        </is>
      </c>
    </row>
    <row r="174">
      <c r="A174" s="0" t="inlineStr">
        <is>
          <t xml:space="preserve">VG-012</t>
        </is>
      </c>
      <c r="B174" s="23">
        <v>8</v>
      </c>
      <c r="C174" s="9">
        <v>2807048200.6257715</v>
      </c>
      <c r="D174" s="9">
        <v>2159267846.6352086</v>
      </c>
      <c r="E174" s="9">
        <v>951624242.3728858</v>
      </c>
      <c r="F174" s="9">
        <v>0</v>
      </c>
      <c r="G174" s="9">
        <v>0</v>
      </c>
      <c r="H174" s="9">
        <v>647780353.9905629</v>
      </c>
      <c r="I174" s="9">
        <v>0</v>
      </c>
      <c r="J174" s="9">
        <v>951624242.3728858</v>
      </c>
      <c r="K174" s="9">
        <v>0</v>
      </c>
      <c r="L174" s="0" t="inlineStr">
        <is>
          <t xml:space="preserve">ZERO_RESIDUAL_NO_SALE</t>
        </is>
      </c>
      <c r="M174" s="0" t="inlineStr">
        <is>
          <t xml:space="preserve">DISTRIBUTION</t>
        </is>
      </c>
    </row>
    <row r="175">
      <c r="A175" s="0" t="inlineStr">
        <is>
          <t xml:space="preserve">VG-012</t>
        </is>
      </c>
      <c r="B175" s="23">
        <v>9</v>
      </c>
      <c r="C175" s="9">
        <v>2813441743.9672666</v>
      </c>
      <c r="D175" s="9">
        <v>2164185956.8978972</v>
      </c>
      <c r="E175" s="9">
        <v>951624242.3728858</v>
      </c>
      <c r="F175" s="9">
        <v>0</v>
      </c>
      <c r="G175" s="9">
        <v>0</v>
      </c>
      <c r="H175" s="9">
        <v>649255787.0693693</v>
      </c>
      <c r="I175" s="9">
        <v>0</v>
      </c>
      <c r="J175" s="9">
        <v>951624242.3728858</v>
      </c>
      <c r="K175" s="9">
        <v>0</v>
      </c>
      <c r="L175" s="0" t="inlineStr">
        <is>
          <t xml:space="preserve">ZERO_RESIDUAL_NO_SALE</t>
        </is>
      </c>
      <c r="M175" s="0" t="inlineStr">
        <is>
          <t xml:space="preserve">DISTRIBUTION</t>
        </is>
      </c>
    </row>
    <row r="176">
      <c r="A176" s="0" t="inlineStr">
        <is>
          <t xml:space="preserve">VG-012</t>
        </is>
      </c>
      <c r="B176" s="23">
        <v>10</v>
      </c>
      <c r="C176" s="9">
        <v>2703302036.9222665</v>
      </c>
      <c r="D176" s="9">
        <v>927249263.084405</v>
      </c>
      <c r="E176" s="9">
        <v>951624242.3728858</v>
      </c>
      <c r="F176" s="9">
        <v>0</v>
      </c>
      <c r="G176" s="9">
        <v>0</v>
      </c>
      <c r="H176" s="9">
        <v>1776052773.8378615</v>
      </c>
      <c r="I176" s="9">
        <v>0</v>
      </c>
      <c r="J176" s="9">
        <v>951624242.3728858</v>
      </c>
      <c r="K176" s="9">
        <v>0</v>
      </c>
      <c r="L176" s="0" t="inlineStr">
        <is>
          <t xml:space="preserve">ZERO_RESIDUAL_NO_SALE</t>
        </is>
      </c>
      <c r="M176" s="0" t="inlineStr">
        <is>
          <t xml:space="preserve">DISTRIBUTION</t>
        </is>
      </c>
    </row>
    <row r="177">
      <c r="A177" s="0" t="inlineStr">
        <is>
          <t xml:space="preserve">VG-012</t>
        </is>
      </c>
      <c r="B177" s="23">
        <v>11</v>
      </c>
      <c r="C177" s="9">
        <v>2825963099.4698873</v>
      </c>
      <c r="D177" s="9">
        <v>0</v>
      </c>
      <c r="E177" s="9">
        <v>951624242.3728858</v>
      </c>
      <c r="F177" s="9">
        <v>0</v>
      </c>
      <c r="G177" s="9">
        <v>0</v>
      </c>
      <c r="H177" s="9">
        <v>2825963099.4698873</v>
      </c>
      <c r="I177" s="9">
        <v>0</v>
      </c>
      <c r="J177" s="9">
        <v>951624242.3728858</v>
      </c>
      <c r="K177" s="9">
        <v>0</v>
      </c>
      <c r="L177" s="0" t="inlineStr">
        <is>
          <t xml:space="preserve">ZERO_RESIDUAL_NO_SALE</t>
        </is>
      </c>
      <c r="M177" s="0" t="inlineStr">
        <is>
          <t xml:space="preserve">DISTRIBUTION</t>
        </is>
      </c>
    </row>
    <row r="178">
      <c r="A178" s="0" t="inlineStr">
        <is>
          <t xml:space="preserve">VG-012</t>
        </is>
      </c>
      <c r="B178" s="23">
        <v>12</v>
      </c>
      <c r="C178" s="9">
        <v>2832085210.9412956</v>
      </c>
      <c r="D178" s="9">
        <v>0</v>
      </c>
      <c r="E178" s="9">
        <v>951624242.3728858</v>
      </c>
      <c r="F178" s="9">
        <v>0</v>
      </c>
      <c r="G178" s="9">
        <v>0</v>
      </c>
      <c r="H178" s="9">
        <v>2832085210.9412956</v>
      </c>
      <c r="I178" s="9">
        <v>0</v>
      </c>
      <c r="J178" s="9">
        <v>951624242.3728858</v>
      </c>
      <c r="K178" s="9">
        <v>0</v>
      </c>
      <c r="L178" s="0" t="inlineStr">
        <is>
          <t xml:space="preserve">ZERO_RESIDUAL_NO_SALE</t>
        </is>
      </c>
      <c r="M178" s="0" t="inlineStr">
        <is>
          <t xml:space="preserve">DISTRIBUTION</t>
        </is>
      </c>
    </row>
    <row r="179">
      <c r="A179" s="0" t="inlineStr">
        <is>
          <t xml:space="preserve">VG-012</t>
        </is>
      </c>
      <c r="B179" s="23">
        <v>13</v>
      </c>
      <c r="C179" s="9">
        <v>2838111040.3889427</v>
      </c>
      <c r="D179" s="9">
        <v>0</v>
      </c>
      <c r="E179" s="9">
        <v>951624242.3728858</v>
      </c>
      <c r="F179" s="9">
        <v>0</v>
      </c>
      <c r="G179" s="9">
        <v>0</v>
      </c>
      <c r="H179" s="9">
        <v>2838111040.3889427</v>
      </c>
      <c r="I179" s="9">
        <v>0</v>
      </c>
      <c r="J179" s="9">
        <v>951624242.3728858</v>
      </c>
      <c r="K179" s="9">
        <v>0</v>
      </c>
      <c r="L179" s="0" t="inlineStr">
        <is>
          <t xml:space="preserve">ZERO_RESIDUAL_NO_SALE</t>
        </is>
      </c>
      <c r="M179" s="0" t="inlineStr">
        <is>
          <t xml:space="preserve">DISTRIBUTION</t>
        </is>
      </c>
    </row>
    <row r="180">
      <c r="A180" s="0" t="inlineStr">
        <is>
          <t xml:space="preserve">VG-012</t>
        </is>
      </c>
      <c r="B180" s="23">
        <v>14</v>
      </c>
      <c r="C180" s="9">
        <v>2844037579.4873013</v>
      </c>
      <c r="D180" s="9">
        <v>0</v>
      </c>
      <c r="E180" s="9">
        <v>951624242.3728858</v>
      </c>
      <c r="F180" s="9">
        <v>0</v>
      </c>
      <c r="G180" s="9">
        <v>0</v>
      </c>
      <c r="H180" s="9">
        <v>2844037579.4873013</v>
      </c>
      <c r="I180" s="9">
        <v>0</v>
      </c>
      <c r="J180" s="9">
        <v>951624242.3728858</v>
      </c>
      <c r="K180" s="9">
        <v>0</v>
      </c>
      <c r="L180" s="0" t="inlineStr">
        <is>
          <t xml:space="preserve">ZERO_RESIDUAL_NO_SALE</t>
        </is>
      </c>
      <c r="M180" s="0" t="inlineStr">
        <is>
          <t xml:space="preserve">DISTRIBUTION</t>
        </is>
      </c>
    </row>
    <row r="181">
      <c r="A181" s="0" t="inlineStr">
        <is>
          <t xml:space="preserve">VG-012</t>
        </is>
      </c>
      <c r="B181" s="23">
        <v>15</v>
      </c>
      <c r="C181" s="9">
        <v>3157677830.7897477</v>
      </c>
      <c r="D181" s="9">
        <v>0</v>
      </c>
      <c r="E181" s="9">
        <v>951624242.3728858</v>
      </c>
      <c r="F181" s="9">
        <v>0</v>
      </c>
      <c r="G181" s="9">
        <v>0</v>
      </c>
      <c r="H181" s="9">
        <v>3157677830.7897477</v>
      </c>
      <c r="I181" s="9">
        <v>951624242.3728858</v>
      </c>
      <c r="J181" s="9">
        <v>0</v>
      </c>
      <c r="K181" s="9">
        <v>0</v>
      </c>
      <c r="L181" s="0" t="inlineStr">
        <is>
          <t xml:space="preserve">ZERO_RESIDUAL_NO_SALE</t>
        </is>
      </c>
      <c r="M181" s="0" t="inlineStr">
        <is>
          <t xml:space="preserve">RELEASE</t>
        </is>
      </c>
    </row>
    <row r="182">
      <c r="A182" s="0" t="inlineStr">
        <is>
          <t xml:space="preserve">VG-013</t>
        </is>
      </c>
      <c r="B182" s="23">
        <v>1</v>
      </c>
      <c r="C182" s="9">
        <v>2246347904.527605</v>
      </c>
      <c r="D182" s="9">
        <v>1727959926.5596962</v>
      </c>
      <c r="E182" s="9">
        <v>0</v>
      </c>
      <c r="F182" s="9">
        <v>863979963.2798481</v>
      </c>
      <c r="G182" s="9">
        <v>0</v>
      </c>
      <c r="H182" s="9">
        <v>518387977.96790886</v>
      </c>
      <c r="I182" s="9">
        <v>0</v>
      </c>
      <c r="J182" s="9">
        <v>863979963.2798481</v>
      </c>
      <c r="K182" s="9">
        <v>0</v>
      </c>
      <c r="L182" s="0" t="inlineStr">
        <is>
          <t xml:space="preserve">ZERO_RESIDUAL_NO_SALE</t>
        </is>
      </c>
      <c r="M182" s="0" t="inlineStr">
        <is>
          <t xml:space="preserve">DISTRIBUTION</t>
        </is>
      </c>
    </row>
    <row r="183">
      <c r="A183" s="0" t="inlineStr">
        <is>
          <t xml:space="preserve">VG-013</t>
        </is>
      </c>
      <c r="B183" s="23">
        <v>2</v>
      </c>
      <c r="C183" s="9">
        <v>2512143171.1340404</v>
      </c>
      <c r="D183" s="9">
        <v>1932417823.9492617</v>
      </c>
      <c r="E183" s="9">
        <v>863979963.2798481</v>
      </c>
      <c r="F183" s="9">
        <v>0</v>
      </c>
      <c r="G183" s="9">
        <v>0</v>
      </c>
      <c r="H183" s="9">
        <v>579725347.1847787</v>
      </c>
      <c r="I183" s="9">
        <v>0</v>
      </c>
      <c r="J183" s="9">
        <v>863979963.2798481</v>
      </c>
      <c r="K183" s="9">
        <v>0</v>
      </c>
      <c r="L183" s="0" t="inlineStr">
        <is>
          <t xml:space="preserve">ZERO_RESIDUAL_NO_SALE</t>
        </is>
      </c>
      <c r="M183" s="0" t="inlineStr">
        <is>
          <t xml:space="preserve">DISTRIBUTION</t>
        </is>
      </c>
    </row>
    <row r="184">
      <c r="A184" s="0" t="inlineStr">
        <is>
          <t xml:space="preserve">VG-013</t>
        </is>
      </c>
      <c r="B184" s="23">
        <v>3</v>
      </c>
      <c r="C184" s="9">
        <v>2518339292.049904</v>
      </c>
      <c r="D184" s="9">
        <v>1937184070.8076184</v>
      </c>
      <c r="E184" s="9">
        <v>863979963.2798481</v>
      </c>
      <c r="F184" s="9">
        <v>0</v>
      </c>
      <c r="G184" s="9">
        <v>0</v>
      </c>
      <c r="H184" s="9">
        <v>581155221.2422855</v>
      </c>
      <c r="I184" s="9">
        <v>0</v>
      </c>
      <c r="J184" s="9">
        <v>863979963.2798481</v>
      </c>
      <c r="K184" s="9">
        <v>0</v>
      </c>
      <c r="L184" s="0" t="inlineStr">
        <is>
          <t xml:space="preserve">ZERO_RESIDUAL_NO_SALE</t>
        </is>
      </c>
      <c r="M184" s="0" t="inlineStr">
        <is>
          <t xml:space="preserve">DISTRIBUTION</t>
        </is>
      </c>
    </row>
    <row r="185">
      <c r="A185" s="0" t="inlineStr">
        <is>
          <t xml:space="preserve">VG-013</t>
        </is>
      </c>
      <c r="B185" s="23">
        <v>4</v>
      </c>
      <c r="C185" s="9">
        <v>2524469372.4643016</v>
      </c>
      <c r="D185" s="9">
        <v>1941899517.280232</v>
      </c>
      <c r="E185" s="9">
        <v>863979963.2798481</v>
      </c>
      <c r="F185" s="9">
        <v>0</v>
      </c>
      <c r="G185" s="9">
        <v>0</v>
      </c>
      <c r="H185" s="9">
        <v>582569855.1840696</v>
      </c>
      <c r="I185" s="9">
        <v>0</v>
      </c>
      <c r="J185" s="9">
        <v>863979963.2798481</v>
      </c>
      <c r="K185" s="9">
        <v>0</v>
      </c>
      <c r="L185" s="0" t="inlineStr">
        <is>
          <t xml:space="preserve">ZERO_RESIDUAL_NO_SALE</t>
        </is>
      </c>
      <c r="M185" s="0" t="inlineStr">
        <is>
          <t xml:space="preserve">DISTRIBUTION</t>
        </is>
      </c>
    </row>
    <row r="186">
      <c r="A186" s="0" t="inlineStr">
        <is>
          <t xml:space="preserve">VG-013</t>
        </is>
      </c>
      <c r="B186" s="23">
        <v>5</v>
      </c>
      <c r="C186" s="9">
        <v>2424211243.5802946</v>
      </c>
      <c r="D186" s="9">
        <v>1864777879.6771495</v>
      </c>
      <c r="E186" s="9">
        <v>863979963.2798481</v>
      </c>
      <c r="F186" s="9">
        <v>0</v>
      </c>
      <c r="G186" s="9">
        <v>0</v>
      </c>
      <c r="H186" s="9">
        <v>559433363.9031451</v>
      </c>
      <c r="I186" s="9">
        <v>0</v>
      </c>
      <c r="J186" s="9">
        <v>863979963.2798481</v>
      </c>
      <c r="K186" s="9">
        <v>0</v>
      </c>
      <c r="L186" s="0" t="inlineStr">
        <is>
          <t xml:space="preserve">ZERO_RESIDUAL_NO_SALE</t>
        </is>
      </c>
      <c r="M186" s="0" t="inlineStr">
        <is>
          <t xml:space="preserve">DISTRIBUTION</t>
        </is>
      </c>
    </row>
    <row r="187">
      <c r="A187" s="0" t="inlineStr">
        <is>
          <t xml:space="preserve">VG-013</t>
        </is>
      </c>
      <c r="B187" s="23">
        <v>6</v>
      </c>
      <c r="C187" s="9">
        <v>2536522317.40567</v>
      </c>
      <c r="D187" s="9">
        <v>1951171013.388977</v>
      </c>
      <c r="E187" s="9">
        <v>863979963.2798481</v>
      </c>
      <c r="F187" s="9">
        <v>0</v>
      </c>
      <c r="G187" s="9">
        <v>0</v>
      </c>
      <c r="H187" s="9">
        <v>585351304.0166931</v>
      </c>
      <c r="I187" s="9">
        <v>0</v>
      </c>
      <c r="J187" s="9">
        <v>863979963.2798481</v>
      </c>
      <c r="K187" s="9">
        <v>0</v>
      </c>
      <c r="L187" s="0" t="inlineStr">
        <is>
          <t xml:space="preserve">ZERO_RESIDUAL_NO_SALE</t>
        </is>
      </c>
      <c r="M187" s="0" t="inlineStr">
        <is>
          <t xml:space="preserve">DISTRIBUTION</t>
        </is>
      </c>
    </row>
    <row r="188">
      <c r="A188" s="0" t="inlineStr">
        <is>
          <t xml:space="preserve">VG-013</t>
        </is>
      </c>
      <c r="B188" s="23">
        <v>7</v>
      </c>
      <c r="C188" s="9">
        <v>2542440509.027808</v>
      </c>
      <c r="D188" s="9">
        <v>1955723468.4829292</v>
      </c>
      <c r="E188" s="9">
        <v>863979963.2798481</v>
      </c>
      <c r="F188" s="9">
        <v>0</v>
      </c>
      <c r="G188" s="9">
        <v>0</v>
      </c>
      <c r="H188" s="9">
        <v>586717040.544879</v>
      </c>
      <c r="I188" s="9">
        <v>0</v>
      </c>
      <c r="J188" s="9">
        <v>863979963.2798481</v>
      </c>
      <c r="K188" s="9">
        <v>0</v>
      </c>
      <c r="L188" s="0" t="inlineStr">
        <is>
          <t xml:space="preserve">ZERO_RESIDUAL_NO_SALE</t>
        </is>
      </c>
      <c r="M188" s="0" t="inlineStr">
        <is>
          <t xml:space="preserve">DISTRIBUTION</t>
        </is>
      </c>
    </row>
    <row r="189">
      <c r="A189" s="0" t="inlineStr">
        <is>
          <t xml:space="preserve">VG-013</t>
        </is>
      </c>
      <c r="B189" s="23">
        <v>8</v>
      </c>
      <c r="C189" s="9">
        <v>2548283312.27712</v>
      </c>
      <c r="D189" s="9">
        <v>1960217932.5208616</v>
      </c>
      <c r="E189" s="9">
        <v>863979963.2798481</v>
      </c>
      <c r="F189" s="9">
        <v>0</v>
      </c>
      <c r="G189" s="9">
        <v>0</v>
      </c>
      <c r="H189" s="9">
        <v>588065379.7562585</v>
      </c>
      <c r="I189" s="9">
        <v>0</v>
      </c>
      <c r="J189" s="9">
        <v>863979963.2798481</v>
      </c>
      <c r="K189" s="9">
        <v>0</v>
      </c>
      <c r="L189" s="0" t="inlineStr">
        <is>
          <t xml:space="preserve">ZERO_RESIDUAL_NO_SALE</t>
        </is>
      </c>
      <c r="M189" s="0" t="inlineStr">
        <is>
          <t xml:space="preserve">DISTRIBUTION</t>
        </is>
      </c>
    </row>
    <row r="190">
      <c r="A190" s="0" t="inlineStr">
        <is>
          <t xml:space="preserve">VG-013</t>
        </is>
      </c>
      <c r="B190" s="23">
        <v>9</v>
      </c>
      <c r="C190" s="9">
        <v>2554048260.312733</v>
      </c>
      <c r="D190" s="9">
        <v>1964652507.9328716</v>
      </c>
      <c r="E190" s="9">
        <v>863979963.2798481</v>
      </c>
      <c r="F190" s="9">
        <v>0</v>
      </c>
      <c r="G190" s="9">
        <v>0</v>
      </c>
      <c r="H190" s="9">
        <v>589395752.3798616</v>
      </c>
      <c r="I190" s="9">
        <v>0</v>
      </c>
      <c r="J190" s="9">
        <v>863979963.2798481</v>
      </c>
      <c r="K190" s="9">
        <v>0</v>
      </c>
      <c r="L190" s="0" t="inlineStr">
        <is>
          <t xml:space="preserve">ZERO_RESIDUAL_NO_SALE</t>
        </is>
      </c>
      <c r="M190" s="0" t="inlineStr">
        <is>
          <t xml:space="preserve">DISTRIBUTION</t>
        </is>
      </c>
    </row>
    <row r="191">
      <c r="A191" s="0" t="inlineStr">
        <is>
          <t xml:space="preserve">VG-013</t>
        </is>
      </c>
      <c r="B191" s="23">
        <v>10</v>
      </c>
      <c r="C191" s="9">
        <v>2453412924.53909</v>
      </c>
      <c r="D191" s="9">
        <v>841239594.245165</v>
      </c>
      <c r="E191" s="9">
        <v>863979963.2798481</v>
      </c>
      <c r="F191" s="9">
        <v>0</v>
      </c>
      <c r="G191" s="9">
        <v>0</v>
      </c>
      <c r="H191" s="9">
        <v>1612173330.2939253</v>
      </c>
      <c r="I191" s="9">
        <v>0</v>
      </c>
      <c r="J191" s="9">
        <v>863979963.2798481</v>
      </c>
      <c r="K191" s="9">
        <v>0</v>
      </c>
      <c r="L191" s="0" t="inlineStr">
        <is>
          <t xml:space="preserve">ZERO_RESIDUAL_NO_SALE</t>
        </is>
      </c>
      <c r="M191" s="0" t="inlineStr">
        <is>
          <t xml:space="preserve">DISTRIBUTION</t>
        </is>
      </c>
    </row>
    <row r="192">
      <c r="A192" s="0" t="inlineStr">
        <is>
          <t xml:space="preserve">VG-013</t>
        </is>
      </c>
      <c r="B192" s="23">
        <v>11</v>
      </c>
      <c r="C192" s="9">
        <v>2565334451.853036</v>
      </c>
      <c r="D192" s="9">
        <v>0</v>
      </c>
      <c r="E192" s="9">
        <v>863979963.2798481</v>
      </c>
      <c r="F192" s="9">
        <v>0</v>
      </c>
      <c r="G192" s="9">
        <v>0</v>
      </c>
      <c r="H192" s="9">
        <v>2565334451.853036</v>
      </c>
      <c r="I192" s="9">
        <v>0</v>
      </c>
      <c r="J192" s="9">
        <v>863979963.2798481</v>
      </c>
      <c r="K192" s="9">
        <v>0</v>
      </c>
      <c r="L192" s="0" t="inlineStr">
        <is>
          <t xml:space="preserve">ZERO_RESIDUAL_NO_SALE</t>
        </is>
      </c>
      <c r="M192" s="0" t="inlineStr">
        <is>
          <t xml:space="preserve">DISTRIBUTION</t>
        </is>
      </c>
    </row>
    <row r="193">
      <c r="A193" s="0" t="inlineStr">
        <is>
          <t xml:space="preserve">VG-013</t>
        </is>
      </c>
      <c r="B193" s="23">
        <v>12</v>
      </c>
      <c r="C193" s="9">
        <v>2570850486.8118677</v>
      </c>
      <c r="D193" s="9">
        <v>0</v>
      </c>
      <c r="E193" s="9">
        <v>863979963.2798481</v>
      </c>
      <c r="F193" s="9">
        <v>0</v>
      </c>
      <c r="G193" s="9">
        <v>0</v>
      </c>
      <c r="H193" s="9">
        <v>2570850486.8118677</v>
      </c>
      <c r="I193" s="9">
        <v>0</v>
      </c>
      <c r="J193" s="9">
        <v>863979963.2798481</v>
      </c>
      <c r="K193" s="9">
        <v>0</v>
      </c>
      <c r="L193" s="0" t="inlineStr">
        <is>
          <t xml:space="preserve">ZERO_RESIDUAL_NO_SALE</t>
        </is>
      </c>
      <c r="M193" s="0" t="inlineStr">
        <is>
          <t xml:space="preserve">DISTRIBUTION</t>
        </is>
      </c>
    </row>
    <row r="194">
      <c r="A194" s="0" t="inlineStr">
        <is>
          <t xml:space="preserve">VG-013</t>
        </is>
      </c>
      <c r="B194" s="23">
        <v>13</v>
      </c>
      <c r="C194" s="9">
        <v>2576278247.1878147</v>
      </c>
      <c r="D194" s="9">
        <v>0</v>
      </c>
      <c r="E194" s="9">
        <v>863979963.2798481</v>
      </c>
      <c r="F194" s="9">
        <v>0</v>
      </c>
      <c r="G194" s="9">
        <v>0</v>
      </c>
      <c r="H194" s="9">
        <v>2576278247.1878147</v>
      </c>
      <c r="I194" s="9">
        <v>0</v>
      </c>
      <c r="J194" s="9">
        <v>863979963.2798481</v>
      </c>
      <c r="K194" s="9">
        <v>0</v>
      </c>
      <c r="L194" s="0" t="inlineStr">
        <is>
          <t xml:space="preserve">ZERO_RESIDUAL_NO_SALE</t>
        </is>
      </c>
      <c r="M194" s="0" t="inlineStr">
        <is>
          <t xml:space="preserve">DISTRIBUTION</t>
        </is>
      </c>
    </row>
    <row r="195">
      <c r="A195" s="0" t="inlineStr">
        <is>
          <t xml:space="preserve">VG-013</t>
        </is>
      </c>
      <c r="B195" s="23">
        <v>14</v>
      </c>
      <c r="C195" s="9">
        <v>2581614984.4425726</v>
      </c>
      <c r="D195" s="9">
        <v>0</v>
      </c>
      <c r="E195" s="9">
        <v>863979963.2798481</v>
      </c>
      <c r="F195" s="9">
        <v>0</v>
      </c>
      <c r="G195" s="9">
        <v>0</v>
      </c>
      <c r="H195" s="9">
        <v>2581614984.4425726</v>
      </c>
      <c r="I195" s="9">
        <v>0</v>
      </c>
      <c r="J195" s="9">
        <v>863979963.2798481</v>
      </c>
      <c r="K195" s="9">
        <v>0</v>
      </c>
      <c r="L195" s="0" t="inlineStr">
        <is>
          <t xml:space="preserve">ZERO_RESIDUAL_NO_SALE</t>
        </is>
      </c>
      <c r="M195" s="0" t="inlineStr">
        <is>
          <t xml:space="preserve">DISTRIBUTION</t>
        </is>
      </c>
    </row>
    <row r="196">
      <c r="A196" s="0" t="inlineStr">
        <is>
          <t xml:space="preserve">VG-013</t>
        </is>
      </c>
      <c r="B196" s="23">
        <v>15</v>
      </c>
      <c r="C196" s="9">
        <v>2866345965.3713512</v>
      </c>
      <c r="D196" s="9">
        <v>0</v>
      </c>
      <c r="E196" s="9">
        <v>863979963.2798481</v>
      </c>
      <c r="F196" s="9">
        <v>0</v>
      </c>
      <c r="G196" s="9">
        <v>0</v>
      </c>
      <c r="H196" s="9">
        <v>2866345965.3713512</v>
      </c>
      <c r="I196" s="9">
        <v>863979963.2798481</v>
      </c>
      <c r="J196" s="9">
        <v>0</v>
      </c>
      <c r="K196" s="9">
        <v>0</v>
      </c>
      <c r="L196" s="0" t="inlineStr">
        <is>
          <t xml:space="preserve">ZERO_RESIDUAL_NO_SALE</t>
        </is>
      </c>
      <c r="M196" s="0" t="inlineStr">
        <is>
          <t xml:space="preserve">RELEASE</t>
        </is>
      </c>
    </row>
    <row r="197">
      <c r="A197" s="0" t="inlineStr">
        <is>
          <t xml:space="preserve">VG-014</t>
        </is>
      </c>
      <c r="B197" s="23">
        <v>1</v>
      </c>
      <c r="C197" s="9">
        <v>2643925369.8387995</v>
      </c>
      <c r="D197" s="9">
        <v>2033788746.0298457</v>
      </c>
      <c r="E197" s="9">
        <v>0</v>
      </c>
      <c r="F197" s="9">
        <v>1016894373.0149227</v>
      </c>
      <c r="G197" s="9">
        <v>0</v>
      </c>
      <c r="H197" s="9">
        <v>610136623.8089538</v>
      </c>
      <c r="I197" s="9">
        <v>0</v>
      </c>
      <c r="J197" s="9">
        <v>1016894373.0149227</v>
      </c>
      <c r="K197" s="9">
        <v>0</v>
      </c>
      <c r="L197" s="0" t="inlineStr">
        <is>
          <t xml:space="preserve">ZERO_RESIDUAL_NO_SALE</t>
        </is>
      </c>
      <c r="M197" s="0" t="inlineStr">
        <is>
          <t xml:space="preserve">DISTRIBUTION</t>
        </is>
      </c>
    </row>
    <row r="198">
      <c r="A198" s="0" t="inlineStr">
        <is>
          <t xml:space="preserve">VG-014</t>
        </is>
      </c>
      <c r="B198" s="23">
        <v>2</v>
      </c>
      <c r="C198" s="9">
        <v>2956729055.588594</v>
      </c>
      <c r="D198" s="9">
        <v>2274406965.83738</v>
      </c>
      <c r="E198" s="9">
        <v>1016894373.0149227</v>
      </c>
      <c r="F198" s="9">
        <v>0</v>
      </c>
      <c r="G198" s="9">
        <v>0</v>
      </c>
      <c r="H198" s="9">
        <v>682322089.751214</v>
      </c>
      <c r="I198" s="9">
        <v>0</v>
      </c>
      <c r="J198" s="9">
        <v>1016894373.0149227</v>
      </c>
      <c r="K198" s="9">
        <v>0</v>
      </c>
      <c r="L198" s="0" t="inlineStr">
        <is>
          <t xml:space="preserve">ZERO_RESIDUAL_NO_SALE</t>
        </is>
      </c>
      <c r="M198" s="0" t="inlineStr">
        <is>
          <t xml:space="preserve">DISTRIBUTION</t>
        </is>
      </c>
    </row>
    <row r="199">
      <c r="A199" s="0" t="inlineStr">
        <is>
          <t xml:space="preserve">VG-014</t>
        </is>
      </c>
      <c r="B199" s="23">
        <v>3</v>
      </c>
      <c r="C199" s="9">
        <v>2963937498.0075073</v>
      </c>
      <c r="D199" s="9">
        <v>2279951921.544236</v>
      </c>
      <c r="E199" s="9">
        <v>1016894373.0149227</v>
      </c>
      <c r="F199" s="9">
        <v>0</v>
      </c>
      <c r="G199" s="9">
        <v>0</v>
      </c>
      <c r="H199" s="9">
        <v>683985576.4632711</v>
      </c>
      <c r="I199" s="9">
        <v>0</v>
      </c>
      <c r="J199" s="9">
        <v>1016894373.0149227</v>
      </c>
      <c r="K199" s="9">
        <v>0</v>
      </c>
      <c r="L199" s="0" t="inlineStr">
        <is>
          <t xml:space="preserve">ZERO_RESIDUAL_NO_SALE</t>
        </is>
      </c>
      <c r="M199" s="0" t="inlineStr">
        <is>
          <t xml:space="preserve">DISTRIBUTION</t>
        </is>
      </c>
    </row>
    <row r="200">
      <c r="A200" s="0" t="inlineStr">
        <is>
          <t xml:space="preserve">VG-014</t>
        </is>
      </c>
      <c r="B200" s="23">
        <v>4</v>
      </c>
      <c r="C200" s="9">
        <v>2971066489.716395</v>
      </c>
      <c r="D200" s="9">
        <v>2285435761.320304</v>
      </c>
      <c r="E200" s="9">
        <v>1016894373.0149227</v>
      </c>
      <c r="F200" s="9">
        <v>0</v>
      </c>
      <c r="G200" s="9">
        <v>0</v>
      </c>
      <c r="H200" s="9">
        <v>685630728.396091</v>
      </c>
      <c r="I200" s="9">
        <v>0</v>
      </c>
      <c r="J200" s="9">
        <v>1016894373.0149227</v>
      </c>
      <c r="K200" s="9">
        <v>0</v>
      </c>
      <c r="L200" s="0" t="inlineStr">
        <is>
          <t xml:space="preserve">ZERO_RESIDUAL_NO_SALE</t>
        </is>
      </c>
      <c r="M200" s="0" t="inlineStr">
        <is>
          <t xml:space="preserve">DISTRIBUTION</t>
        </is>
      </c>
    </row>
    <row r="201">
      <c r="A201" s="0" t="inlineStr">
        <is>
          <t xml:space="preserve">VG-014</t>
        </is>
      </c>
      <c r="B201" s="23">
        <v>5</v>
      </c>
      <c r="C201" s="9">
        <v>2851542016.1289377</v>
      </c>
      <c r="D201" s="9">
        <v>2193493858.5607214</v>
      </c>
      <c r="E201" s="9">
        <v>1016894373.0149227</v>
      </c>
      <c r="F201" s="9">
        <v>0</v>
      </c>
      <c r="G201" s="9">
        <v>0</v>
      </c>
      <c r="H201" s="9">
        <v>658048157.5682163</v>
      </c>
      <c r="I201" s="9">
        <v>0</v>
      </c>
      <c r="J201" s="9">
        <v>1016894373.0149227</v>
      </c>
      <c r="K201" s="9">
        <v>0</v>
      </c>
      <c r="L201" s="0" t="inlineStr">
        <is>
          <t xml:space="preserve">ZERO_RESIDUAL_NO_SALE</t>
        </is>
      </c>
      <c r="M201" s="0" t="inlineStr">
        <is>
          <t xml:space="preserve">DISTRIBUTION</t>
        </is>
      </c>
    </row>
    <row r="202">
      <c r="A202" s="0" t="inlineStr">
        <is>
          <t xml:space="preserve">VG-014</t>
        </is>
      </c>
      <c r="B202" s="23">
        <v>6</v>
      </c>
      <c r="C202" s="9">
        <v>2985075277.882173</v>
      </c>
      <c r="D202" s="9">
        <v>2296211752.2170563</v>
      </c>
      <c r="E202" s="9">
        <v>1016894373.0149227</v>
      </c>
      <c r="F202" s="9">
        <v>0</v>
      </c>
      <c r="G202" s="9">
        <v>0</v>
      </c>
      <c r="H202" s="9">
        <v>688863525.6651168</v>
      </c>
      <c r="I202" s="9">
        <v>0</v>
      </c>
      <c r="J202" s="9">
        <v>1016894373.0149227</v>
      </c>
      <c r="K202" s="9">
        <v>0</v>
      </c>
      <c r="L202" s="0" t="inlineStr">
        <is>
          <t xml:space="preserve">ZERO_RESIDUAL_NO_SALE</t>
        </is>
      </c>
      <c r="M202" s="0" t="inlineStr">
        <is>
          <t xml:space="preserve">DISTRIBUTION</t>
        </is>
      </c>
    </row>
    <row r="203">
      <c r="A203" s="0" t="inlineStr">
        <is>
          <t xml:space="preserve">VG-014</t>
        </is>
      </c>
      <c r="B203" s="23">
        <v>7</v>
      </c>
      <c r="C203" s="9">
        <v>2991949503.06838</v>
      </c>
      <c r="D203" s="9">
        <v>2301499617.7449074</v>
      </c>
      <c r="E203" s="9">
        <v>1016894373.0149227</v>
      </c>
      <c r="F203" s="9">
        <v>0</v>
      </c>
      <c r="G203" s="9">
        <v>0</v>
      </c>
      <c r="H203" s="9">
        <v>690449885.3234725</v>
      </c>
      <c r="I203" s="9">
        <v>0</v>
      </c>
      <c r="J203" s="9">
        <v>1016894373.0149227</v>
      </c>
      <c r="K203" s="9">
        <v>0</v>
      </c>
      <c r="L203" s="0" t="inlineStr">
        <is>
          <t xml:space="preserve">ZERO_RESIDUAL_NO_SALE</t>
        </is>
      </c>
      <c r="M203" s="0" t="inlineStr">
        <is>
          <t xml:space="preserve">DISTRIBUTION</t>
        </is>
      </c>
    </row>
    <row r="204">
      <c r="A204" s="0" t="inlineStr">
        <is>
          <t xml:space="preserve">VG-014</t>
        </is>
      </c>
      <c r="B204" s="23">
        <v>8</v>
      </c>
      <c r="C204" s="9">
        <v>2998733132.548597</v>
      </c>
      <c r="D204" s="9">
        <v>2306717794.2681513</v>
      </c>
      <c r="E204" s="9">
        <v>1016894373.0149227</v>
      </c>
      <c r="F204" s="9">
        <v>0</v>
      </c>
      <c r="G204" s="9">
        <v>0</v>
      </c>
      <c r="H204" s="9">
        <v>692015338.2804456</v>
      </c>
      <c r="I204" s="9">
        <v>0</v>
      </c>
      <c r="J204" s="9">
        <v>1016894373.0149227</v>
      </c>
      <c r="K204" s="9">
        <v>0</v>
      </c>
      <c r="L204" s="0" t="inlineStr">
        <is>
          <t xml:space="preserve">ZERO_RESIDUAL_NO_SALE</t>
        </is>
      </c>
      <c r="M204" s="0" t="inlineStr">
        <is>
          <t xml:space="preserve">DISTRIBUTION</t>
        </is>
      </c>
    </row>
    <row r="205">
      <c r="A205" s="0" t="inlineStr">
        <is>
          <t xml:space="preserve">VG-014</t>
        </is>
      </c>
      <c r="B205" s="23">
        <v>9</v>
      </c>
      <c r="C205" s="9">
        <v>3005423225.411667</v>
      </c>
      <c r="D205" s="9">
        <v>2311864019.5474358</v>
      </c>
      <c r="E205" s="9">
        <v>1016894373.0149227</v>
      </c>
      <c r="F205" s="9">
        <v>0</v>
      </c>
      <c r="G205" s="9">
        <v>0</v>
      </c>
      <c r="H205" s="9">
        <v>693559205.8642311</v>
      </c>
      <c r="I205" s="9">
        <v>0</v>
      </c>
      <c r="J205" s="9">
        <v>1016894373.0149227</v>
      </c>
      <c r="K205" s="9">
        <v>0</v>
      </c>
      <c r="L205" s="0" t="inlineStr">
        <is>
          <t xml:space="preserve">ZERO_RESIDUAL_NO_SALE</t>
        </is>
      </c>
      <c r="M205" s="0" t="inlineStr">
        <is>
          <t xml:space="preserve">DISTRIBUTION</t>
        </is>
      </c>
    </row>
    <row r="206">
      <c r="A206" s="0" t="inlineStr">
        <is>
          <t xml:space="preserve">VG-014</t>
        </is>
      </c>
      <c r="B206" s="23">
        <v>10</v>
      </c>
      <c r="C206" s="9">
        <v>2885445457.68437</v>
      </c>
      <c r="D206" s="9">
        <v>988667854.7293518</v>
      </c>
      <c r="E206" s="9">
        <v>1016894373.0149227</v>
      </c>
      <c r="F206" s="9">
        <v>0</v>
      </c>
      <c r="G206" s="9">
        <v>0</v>
      </c>
      <c r="H206" s="9">
        <v>1896777602.9550183</v>
      </c>
      <c r="I206" s="9">
        <v>0</v>
      </c>
      <c r="J206" s="9">
        <v>1016894373.0149227</v>
      </c>
      <c r="K206" s="9">
        <v>0</v>
      </c>
      <c r="L206" s="0" t="inlineStr">
        <is>
          <t xml:space="preserve">ZERO_RESIDUAL_NO_SALE</t>
        </is>
      </c>
      <c r="M206" s="0" t="inlineStr">
        <is>
          <t xml:space="preserve">DISTRIBUTION</t>
        </is>
      </c>
    </row>
    <row r="207">
      <c r="A207" s="0" t="inlineStr">
        <is>
          <t xml:space="preserve">VG-014</t>
        </is>
      </c>
      <c r="B207" s="23">
        <v>11</v>
      </c>
      <c r="C207" s="9">
        <v>3018510714.292142</v>
      </c>
      <c r="D207" s="9">
        <v>0</v>
      </c>
      <c r="E207" s="9">
        <v>1016894373.0149227</v>
      </c>
      <c r="F207" s="9">
        <v>0</v>
      </c>
      <c r="G207" s="9">
        <v>0</v>
      </c>
      <c r="H207" s="9">
        <v>3018510714.292142</v>
      </c>
      <c r="I207" s="9">
        <v>0</v>
      </c>
      <c r="J207" s="9">
        <v>1016894373.0149227</v>
      </c>
      <c r="K207" s="9">
        <v>0</v>
      </c>
      <c r="L207" s="0" t="inlineStr">
        <is>
          <t xml:space="preserve">ZERO_RESIDUAL_NO_SALE</t>
        </is>
      </c>
      <c r="M207" s="0" t="inlineStr">
        <is>
          <t xml:space="preserve">DISTRIBUTION</t>
        </is>
      </c>
    </row>
    <row r="208">
      <c r="A208" s="0" t="inlineStr">
        <is>
          <t xml:space="preserve">VG-014</t>
        </is>
      </c>
      <c r="B208" s="23">
        <v>12</v>
      </c>
      <c r="C208" s="9">
        <v>3024901901.1637926</v>
      </c>
      <c r="D208" s="9">
        <v>0</v>
      </c>
      <c r="E208" s="9">
        <v>1016894373.0149227</v>
      </c>
      <c r="F208" s="9">
        <v>0</v>
      </c>
      <c r="G208" s="9">
        <v>0</v>
      </c>
      <c r="H208" s="9">
        <v>3024901901.1637926</v>
      </c>
      <c r="I208" s="9">
        <v>0</v>
      </c>
      <c r="J208" s="9">
        <v>1016894373.0149227</v>
      </c>
      <c r="K208" s="9">
        <v>0</v>
      </c>
      <c r="L208" s="0" t="inlineStr">
        <is>
          <t xml:space="preserve">ZERO_RESIDUAL_NO_SALE</t>
        </is>
      </c>
      <c r="M208" s="0" t="inlineStr">
        <is>
          <t xml:space="preserve">DISTRIBUTION</t>
        </is>
      </c>
    </row>
    <row r="209">
      <c r="A209" s="0" t="inlineStr">
        <is>
          <t xml:space="preserve">VG-014</t>
        </is>
      </c>
      <c r="B209" s="23">
        <v>13</v>
      </c>
      <c r="C209" s="9">
        <v>3031187130.415301</v>
      </c>
      <c r="D209" s="9">
        <v>0</v>
      </c>
      <c r="E209" s="9">
        <v>1016894373.0149227</v>
      </c>
      <c r="F209" s="9">
        <v>0</v>
      </c>
      <c r="G209" s="9">
        <v>0</v>
      </c>
      <c r="H209" s="9">
        <v>3031187130.415301</v>
      </c>
      <c r="I209" s="9">
        <v>0</v>
      </c>
      <c r="J209" s="9">
        <v>1016894373.0149227</v>
      </c>
      <c r="K209" s="9">
        <v>0</v>
      </c>
      <c r="L209" s="0" t="inlineStr">
        <is>
          <t xml:space="preserve">ZERO_RESIDUAL_NO_SALE</t>
        </is>
      </c>
      <c r="M209" s="0" t="inlineStr">
        <is>
          <t xml:space="preserve">DISTRIBUTION</t>
        </is>
      </c>
    </row>
    <row r="210">
      <c r="A210" s="0" t="inlineStr">
        <is>
          <t xml:space="preserve">VG-014</t>
        </is>
      </c>
      <c r="B210" s="23">
        <v>14</v>
      </c>
      <c r="C210" s="9">
        <v>3037363125.676545</v>
      </c>
      <c r="D210" s="9">
        <v>0</v>
      </c>
      <c r="E210" s="9">
        <v>1016894373.0149227</v>
      </c>
      <c r="F210" s="9">
        <v>0</v>
      </c>
      <c r="G210" s="9">
        <v>0</v>
      </c>
      <c r="H210" s="9">
        <v>3037363125.676545</v>
      </c>
      <c r="I210" s="9">
        <v>0</v>
      </c>
      <c r="J210" s="9">
        <v>1016894373.0149227</v>
      </c>
      <c r="K210" s="9">
        <v>0</v>
      </c>
      <c r="L210" s="0" t="inlineStr">
        <is>
          <t xml:space="preserve">ZERO_RESIDUAL_NO_SALE</t>
        </is>
      </c>
      <c r="M210" s="0" t="inlineStr">
        <is>
          <t xml:space="preserve">DISTRIBUTION</t>
        </is>
      </c>
    </row>
    <row r="211">
      <c r="A211" s="0" t="inlineStr">
        <is>
          <t xml:space="preserve">VG-014</t>
        </is>
      </c>
      <c r="B211" s="23">
        <v>15</v>
      </c>
      <c r="C211" s="9">
        <v>3372432852.8702807</v>
      </c>
      <c r="D211" s="9">
        <v>0</v>
      </c>
      <c r="E211" s="9">
        <v>1016894373.0149227</v>
      </c>
      <c r="F211" s="9">
        <v>0</v>
      </c>
      <c r="G211" s="9">
        <v>0</v>
      </c>
      <c r="H211" s="9">
        <v>3372432852.8702807</v>
      </c>
      <c r="I211" s="9">
        <v>1016894373.0149227</v>
      </c>
      <c r="J211" s="9">
        <v>0</v>
      </c>
      <c r="K211" s="9">
        <v>0</v>
      </c>
      <c r="L211" s="0" t="inlineStr">
        <is>
          <t xml:space="preserve">ZERO_RESIDUAL_NO_SALE</t>
        </is>
      </c>
      <c r="M211" s="0" t="inlineStr">
        <is>
          <t xml:space="preserve">RELEASE</t>
        </is>
      </c>
    </row>
    <row r="212">
      <c r="A212" s="0" t="inlineStr">
        <is>
          <t xml:space="preserve">VG-015</t>
        </is>
      </c>
      <c r="B212" s="23">
        <v>1</v>
      </c>
      <c r="C212" s="9">
        <v>2552711551.538398</v>
      </c>
      <c r="D212" s="9">
        <v>1963624270.4141521</v>
      </c>
      <c r="E212" s="9">
        <v>0</v>
      </c>
      <c r="F212" s="9">
        <v>981812135.2070761</v>
      </c>
      <c r="G212" s="9">
        <v>0</v>
      </c>
      <c r="H212" s="9">
        <v>589087281.1242456</v>
      </c>
      <c r="I212" s="9">
        <v>0</v>
      </c>
      <c r="J212" s="9">
        <v>981812135.2070761</v>
      </c>
      <c r="K212" s="9">
        <v>0</v>
      </c>
      <c r="L212" s="0" t="inlineStr">
        <is>
          <t xml:space="preserve">ZERO_RESIDUAL_NO_SALE</t>
        </is>
      </c>
      <c r="M212" s="0" t="inlineStr">
        <is>
          <t xml:space="preserve">DISTRIBUTION</t>
        </is>
      </c>
    </row>
    <row r="213">
      <c r="A213" s="0" t="inlineStr">
        <is>
          <t xml:space="preserve">VG-015</t>
        </is>
      </c>
      <c r="B213" s="23">
        <v>2</v>
      </c>
      <c r="C213" s="9">
        <v>2854740330.187691</v>
      </c>
      <c r="D213" s="9">
        <v>2195954100.1443777</v>
      </c>
      <c r="E213" s="9">
        <v>981812135.2070761</v>
      </c>
      <c r="F213" s="9">
        <v>0</v>
      </c>
      <c r="G213" s="9">
        <v>0</v>
      </c>
      <c r="H213" s="9">
        <v>658786230.0433135</v>
      </c>
      <c r="I213" s="9">
        <v>0</v>
      </c>
      <c r="J213" s="9">
        <v>981812135.2070761</v>
      </c>
      <c r="K213" s="9">
        <v>0</v>
      </c>
      <c r="L213" s="0" t="inlineStr">
        <is>
          <t xml:space="preserve">ZERO_RESIDUAL_NO_SALE</t>
        </is>
      </c>
      <c r="M213" s="0" t="inlineStr">
        <is>
          <t xml:space="preserve">DISTRIBUTION</t>
        </is>
      </c>
    </row>
    <row r="214">
      <c r="A214" s="0" t="inlineStr">
        <is>
          <t xml:space="preserve">VG-015</t>
        </is>
      </c>
      <c r="B214" s="23">
        <v>3</v>
      </c>
      <c r="C214" s="9">
        <v>2861741023.0721207</v>
      </c>
      <c r="D214" s="9">
        <v>2201339248.517016</v>
      </c>
      <c r="E214" s="9">
        <v>981812135.2070761</v>
      </c>
      <c r="F214" s="9">
        <v>0</v>
      </c>
      <c r="G214" s="9">
        <v>0</v>
      </c>
      <c r="H214" s="9">
        <v>660401774.5551047</v>
      </c>
      <c r="I214" s="9">
        <v>0</v>
      </c>
      <c r="J214" s="9">
        <v>981812135.2070761</v>
      </c>
      <c r="K214" s="9">
        <v>0</v>
      </c>
      <c r="L214" s="0" t="inlineStr">
        <is>
          <t xml:space="preserve">ZERO_RESIDUAL_NO_SALE</t>
        </is>
      </c>
      <c r="M214" s="0" t="inlineStr">
        <is>
          <t xml:space="preserve">DISTRIBUTION</t>
        </is>
      </c>
    </row>
    <row r="215">
      <c r="A215" s="0" t="inlineStr">
        <is>
          <t xml:space="preserve">VG-015</t>
        </is>
      </c>
      <c r="B215" s="23">
        <v>4</v>
      </c>
      <c r="C215" s="9">
        <v>2868665842.186328</v>
      </c>
      <c r="D215" s="9">
        <v>2206666032.451021</v>
      </c>
      <c r="E215" s="9">
        <v>981812135.2070761</v>
      </c>
      <c r="F215" s="9">
        <v>0</v>
      </c>
      <c r="G215" s="9">
        <v>0</v>
      </c>
      <c r="H215" s="9">
        <v>661999809.7353067</v>
      </c>
      <c r="I215" s="9">
        <v>0</v>
      </c>
      <c r="J215" s="9">
        <v>981812135.2070761</v>
      </c>
      <c r="K215" s="9">
        <v>0</v>
      </c>
      <c r="L215" s="0" t="inlineStr">
        <is>
          <t xml:space="preserve">ZERO_RESIDUAL_NO_SALE</t>
        </is>
      </c>
      <c r="M215" s="0" t="inlineStr">
        <is>
          <t xml:space="preserve">DISTRIBUTION</t>
        </is>
      </c>
    </row>
    <row r="216">
      <c r="A216" s="0" t="inlineStr">
        <is>
          <t xml:space="preserve">VG-015</t>
        </is>
      </c>
      <c r="B216" s="23">
        <v>5</v>
      </c>
      <c r="C216" s="9">
        <v>2754003735.502059</v>
      </c>
      <c r="D216" s="9">
        <v>2118464411.9246607</v>
      </c>
      <c r="E216" s="9">
        <v>981812135.2070761</v>
      </c>
      <c r="F216" s="9">
        <v>0</v>
      </c>
      <c r="G216" s="9">
        <v>0</v>
      </c>
      <c r="H216" s="9">
        <v>635539323.5773983</v>
      </c>
      <c r="I216" s="9">
        <v>0</v>
      </c>
      <c r="J216" s="9">
        <v>981812135.2070761</v>
      </c>
      <c r="K216" s="9">
        <v>0</v>
      </c>
      <c r="L216" s="0" t="inlineStr">
        <is>
          <t xml:space="preserve">ZERO_RESIDUAL_NO_SALE</t>
        </is>
      </c>
      <c r="M216" s="0" t="inlineStr">
        <is>
          <t xml:space="preserve">DISTRIBUTION</t>
        </is>
      </c>
    </row>
    <row r="217">
      <c r="A217" s="0" t="inlineStr">
        <is>
          <t xml:space="preserve">VG-015</t>
        </is>
      </c>
      <c r="B217" s="23">
        <v>6</v>
      </c>
      <c r="C217" s="9">
        <v>2882277457.6152554</v>
      </c>
      <c r="D217" s="9">
        <v>2217136505.8578887</v>
      </c>
      <c r="E217" s="9">
        <v>981812135.2070761</v>
      </c>
      <c r="F217" s="9">
        <v>0</v>
      </c>
      <c r="G217" s="9">
        <v>0</v>
      </c>
      <c r="H217" s="9">
        <v>665140951.7573667</v>
      </c>
      <c r="I217" s="9">
        <v>0</v>
      </c>
      <c r="J217" s="9">
        <v>981812135.2070761</v>
      </c>
      <c r="K217" s="9">
        <v>0</v>
      </c>
      <c r="L217" s="0" t="inlineStr">
        <is>
          <t xml:space="preserve">ZERO_RESIDUAL_NO_SALE</t>
        </is>
      </c>
      <c r="M217" s="0" t="inlineStr">
        <is>
          <t xml:space="preserve">DISTRIBUTION</t>
        </is>
      </c>
    </row>
    <row r="218">
      <c r="A218" s="0" t="inlineStr">
        <is>
          <t xml:space="preserve">VG-015</t>
        </is>
      </c>
      <c r="B218" s="23">
        <v>7</v>
      </c>
      <c r="C218" s="9">
        <v>2888958909.4887137</v>
      </c>
      <c r="D218" s="9">
        <v>2222276084.2220874</v>
      </c>
      <c r="E218" s="9">
        <v>981812135.2070761</v>
      </c>
      <c r="F218" s="9">
        <v>0</v>
      </c>
      <c r="G218" s="9">
        <v>0</v>
      </c>
      <c r="H218" s="9">
        <v>666682825.2666264</v>
      </c>
      <c r="I218" s="9">
        <v>0</v>
      </c>
      <c r="J218" s="9">
        <v>981812135.2070761</v>
      </c>
      <c r="K218" s="9">
        <v>0</v>
      </c>
      <c r="L218" s="0" t="inlineStr">
        <is>
          <t xml:space="preserve">ZERO_RESIDUAL_NO_SALE</t>
        </is>
      </c>
      <c r="M218" s="0" t="inlineStr">
        <is>
          <t xml:space="preserve">DISTRIBUTION</t>
        </is>
      </c>
    </row>
    <row r="219">
      <c r="A219" s="0" t="inlineStr">
        <is>
          <t xml:space="preserve">VG-015</t>
        </is>
      </c>
      <c r="B219" s="23">
        <v>8</v>
      </c>
      <c r="C219" s="9">
        <v>2895553796.3531094</v>
      </c>
      <c r="D219" s="9">
        <v>2227349074.1177764</v>
      </c>
      <c r="E219" s="9">
        <v>981812135.2070761</v>
      </c>
      <c r="F219" s="9">
        <v>0</v>
      </c>
      <c r="G219" s="9">
        <v>0</v>
      </c>
      <c r="H219" s="9">
        <v>668204722.235333</v>
      </c>
      <c r="I219" s="9">
        <v>0</v>
      </c>
      <c r="J219" s="9">
        <v>981812135.2070761</v>
      </c>
      <c r="K219" s="9">
        <v>0</v>
      </c>
      <c r="L219" s="0" t="inlineStr">
        <is>
          <t xml:space="preserve">ZERO_RESIDUAL_NO_SALE</t>
        </is>
      </c>
      <c r="M219" s="0" t="inlineStr">
        <is>
          <t xml:space="preserve">DISTRIBUTION</t>
        </is>
      </c>
    </row>
    <row r="220">
      <c r="A220" s="0" t="inlineStr">
        <is>
          <t xml:space="preserve">VG-015</t>
        </is>
      </c>
      <c r="B220" s="23">
        <v>9</v>
      </c>
      <c r="C220" s="9">
        <v>2902059296.947734</v>
      </c>
      <c r="D220" s="9">
        <v>2232353305.3444104</v>
      </c>
      <c r="E220" s="9">
        <v>981812135.2070761</v>
      </c>
      <c r="F220" s="9">
        <v>0</v>
      </c>
      <c r="G220" s="9">
        <v>0</v>
      </c>
      <c r="H220" s="9">
        <v>669705991.6033235</v>
      </c>
      <c r="I220" s="9">
        <v>0</v>
      </c>
      <c r="J220" s="9">
        <v>981812135.2070761</v>
      </c>
      <c r="K220" s="9">
        <v>0</v>
      </c>
      <c r="L220" s="0" t="inlineStr">
        <is>
          <t xml:space="preserve">ZERO_RESIDUAL_NO_SALE</t>
        </is>
      </c>
      <c r="M220" s="0" t="inlineStr">
        <is>
          <t xml:space="preserve">DISTRIBUTION</t>
        </is>
      </c>
    </row>
    <row r="221">
      <c r="A221" s="0" t="inlineStr">
        <is>
          <t xml:space="preserve">VG-015</t>
        </is>
      </c>
      <c r="B221" s="23">
        <v>10</v>
      </c>
      <c r="C221" s="9">
        <v>2786964062.2822638</v>
      </c>
      <c r="D221" s="9">
        <v>955268909.8387539</v>
      </c>
      <c r="E221" s="9">
        <v>981812135.2070761</v>
      </c>
      <c r="F221" s="9">
        <v>0</v>
      </c>
      <c r="G221" s="9">
        <v>0</v>
      </c>
      <c r="H221" s="9">
        <v>1831695152.4435098</v>
      </c>
      <c r="I221" s="9">
        <v>0</v>
      </c>
      <c r="J221" s="9">
        <v>981812135.2070761</v>
      </c>
      <c r="K221" s="9">
        <v>0</v>
      </c>
      <c r="L221" s="0" t="inlineStr">
        <is>
          <t xml:space="preserve">ZERO_RESIDUAL_NO_SALE</t>
        </is>
      </c>
      <c r="M221" s="0" t="inlineStr">
        <is>
          <t xml:space="preserve">DISTRIBUTION</t>
        </is>
      </c>
    </row>
    <row r="222">
      <c r="A222" s="0" t="inlineStr">
        <is>
          <t xml:space="preserve">VG-015</t>
        </is>
      </c>
      <c r="B222" s="23">
        <v>11</v>
      </c>
      <c r="C222" s="9">
        <v>2914790543.919106</v>
      </c>
      <c r="D222" s="9">
        <v>0</v>
      </c>
      <c r="E222" s="9">
        <v>981812135.2070761</v>
      </c>
      <c r="F222" s="9">
        <v>0</v>
      </c>
      <c r="G222" s="9">
        <v>0</v>
      </c>
      <c r="H222" s="9">
        <v>2914790543.919106</v>
      </c>
      <c r="I222" s="9">
        <v>0</v>
      </c>
      <c r="J222" s="9">
        <v>981812135.2070761</v>
      </c>
      <c r="K222" s="9">
        <v>0</v>
      </c>
      <c r="L222" s="0" t="inlineStr">
        <is>
          <t xml:space="preserve">ZERO_RESIDUAL_NO_SALE</t>
        </is>
      </c>
      <c r="M222" s="0" t="inlineStr">
        <is>
          <t xml:space="preserve">DISTRIBUTION</t>
        </is>
      </c>
    </row>
    <row r="223">
      <c r="A223" s="0" t="inlineStr">
        <is>
          <t xml:space="preserve">VG-015</t>
        </is>
      </c>
      <c r="B223" s="23">
        <v>12</v>
      </c>
      <c r="C223" s="9">
        <v>2921010333.593974</v>
      </c>
      <c r="D223" s="9">
        <v>0</v>
      </c>
      <c r="E223" s="9">
        <v>981812135.2070761</v>
      </c>
      <c r="F223" s="9">
        <v>0</v>
      </c>
      <c r="G223" s="9">
        <v>0</v>
      </c>
      <c r="H223" s="9">
        <v>2921010333.593974</v>
      </c>
      <c r="I223" s="9">
        <v>0</v>
      </c>
      <c r="J223" s="9">
        <v>981812135.2070761</v>
      </c>
      <c r="K223" s="9">
        <v>0</v>
      </c>
      <c r="L223" s="0" t="inlineStr">
        <is>
          <t xml:space="preserve">ZERO_RESIDUAL_NO_SALE</t>
        </is>
      </c>
      <c r="M223" s="0" t="inlineStr">
        <is>
          <t xml:space="preserve">DISTRIBUTION</t>
        </is>
      </c>
    </row>
    <row r="224">
      <c r="A224" s="0" t="inlineStr">
        <is>
          <t xml:space="preserve">VG-015</t>
        </is>
      </c>
      <c r="B224" s="23">
        <v>13</v>
      </c>
      <c r="C224" s="9">
        <v>2927128820.992382</v>
      </c>
      <c r="D224" s="9">
        <v>0</v>
      </c>
      <c r="E224" s="9">
        <v>981812135.2070761</v>
      </c>
      <c r="F224" s="9">
        <v>0</v>
      </c>
      <c r="G224" s="9">
        <v>0</v>
      </c>
      <c r="H224" s="9">
        <v>2927128820.992382</v>
      </c>
      <c r="I224" s="9">
        <v>0</v>
      </c>
      <c r="J224" s="9">
        <v>981812135.2070761</v>
      </c>
      <c r="K224" s="9">
        <v>0</v>
      </c>
      <c r="L224" s="0" t="inlineStr">
        <is>
          <t xml:space="preserve">ZERO_RESIDUAL_NO_SALE</t>
        </is>
      </c>
      <c r="M224" s="0" t="inlineStr">
        <is>
          <t xml:space="preserve">DISTRIBUTION</t>
        </is>
      </c>
    </row>
    <row r="225">
      <c r="A225" s="0" t="inlineStr">
        <is>
          <t xml:space="preserve">VG-015</t>
        </is>
      </c>
      <c r="B225" s="23">
        <v>14</v>
      </c>
      <c r="C225" s="9">
        <v>2933142862.8633547</v>
      </c>
      <c r="D225" s="9">
        <v>0</v>
      </c>
      <c r="E225" s="9">
        <v>981812135.2070761</v>
      </c>
      <c r="F225" s="9">
        <v>0</v>
      </c>
      <c r="G225" s="9">
        <v>0</v>
      </c>
      <c r="H225" s="9">
        <v>2933142862.8633547</v>
      </c>
      <c r="I225" s="9">
        <v>0</v>
      </c>
      <c r="J225" s="9">
        <v>981812135.2070761</v>
      </c>
      <c r="K225" s="9">
        <v>0</v>
      </c>
      <c r="L225" s="0" t="inlineStr">
        <is>
          <t xml:space="preserve">ZERO_RESIDUAL_NO_SALE</t>
        </is>
      </c>
      <c r="M225" s="0" t="inlineStr">
        <is>
          <t xml:space="preserve">DISTRIBUTION</t>
        </is>
      </c>
    </row>
    <row r="226">
      <c r="A226" s="0" t="inlineStr">
        <is>
          <t xml:space="preserve">VG-015</t>
        </is>
      </c>
      <c r="B226" s="23">
        <v>15</v>
      </c>
      <c r="C226" s="9">
        <v>3256679749.5899363</v>
      </c>
      <c r="D226" s="9">
        <v>0</v>
      </c>
      <c r="E226" s="9">
        <v>981812135.2070761</v>
      </c>
      <c r="F226" s="9">
        <v>0</v>
      </c>
      <c r="G226" s="9">
        <v>0</v>
      </c>
      <c r="H226" s="9">
        <v>3256679749.5899363</v>
      </c>
      <c r="I226" s="9">
        <v>981812135.2070761</v>
      </c>
      <c r="J226" s="9">
        <v>0</v>
      </c>
      <c r="K226" s="9">
        <v>0</v>
      </c>
      <c r="L226" s="0" t="inlineStr">
        <is>
          <t xml:space="preserve">ZERO_RESIDUAL_NO_SALE</t>
        </is>
      </c>
      <c r="M226" s="0" t="inlineStr">
        <is>
          <t xml:space="preserve">RELEASE</t>
        </is>
      </c>
    </row>
    <row r="227">
      <c r="A227" s="0" t="inlineStr">
        <is>
          <t xml:space="preserve">VG-016</t>
        </is>
      </c>
      <c r="B227" s="23">
        <v>1</v>
      </c>
      <c r="C227" s="9">
        <v>2284515328.199806</v>
      </c>
      <c r="D227" s="9">
        <v>1757319483.2306201</v>
      </c>
      <c r="E227" s="9">
        <v>0</v>
      </c>
      <c r="F227" s="9">
        <v>878659741.6153101</v>
      </c>
      <c r="G227" s="9">
        <v>0</v>
      </c>
      <c r="H227" s="9">
        <v>527195844.96918607</v>
      </c>
      <c r="I227" s="9">
        <v>0</v>
      </c>
      <c r="J227" s="9">
        <v>878659741.6153101</v>
      </c>
      <c r="K227" s="9">
        <v>0</v>
      </c>
      <c r="L227" s="0" t="inlineStr">
        <is>
          <t xml:space="preserve">ZERO_RESIDUAL_NO_SALE</t>
        </is>
      </c>
      <c r="M227" s="0" t="inlineStr">
        <is>
          <t xml:space="preserve">DISTRIBUTION</t>
        </is>
      </c>
    </row>
    <row r="228">
      <c r="A228" s="0" t="inlineStr">
        <is>
          <t xml:space="preserve">VG-016</t>
        </is>
      </c>
      <c r="B228" s="23">
        <v>2</v>
      </c>
      <c r="C228" s="9">
        <v>2554990770.8809023</v>
      </c>
      <c r="D228" s="9">
        <v>1965377516.0622325</v>
      </c>
      <c r="E228" s="9">
        <v>878659741.6153101</v>
      </c>
      <c r="F228" s="9">
        <v>0</v>
      </c>
      <c r="G228" s="9">
        <v>0</v>
      </c>
      <c r="H228" s="9">
        <v>589613254.8186698</v>
      </c>
      <c r="I228" s="9">
        <v>0</v>
      </c>
      <c r="J228" s="9">
        <v>878659741.6153101</v>
      </c>
      <c r="K228" s="9">
        <v>0</v>
      </c>
      <c r="L228" s="0" t="inlineStr">
        <is>
          <t xml:space="preserve">ZERO_RESIDUAL_NO_SALE</t>
        </is>
      </c>
      <c r="M228" s="0" t="inlineStr">
        <is>
          <t xml:space="preserve">DISTRIBUTION</t>
        </is>
      </c>
    </row>
    <row r="229">
      <c r="A229" s="0" t="inlineStr">
        <is>
          <t xml:space="preserve">VG-016</t>
        </is>
      </c>
      <c r="B229" s="23">
        <v>3</v>
      </c>
      <c r="C229" s="9">
        <v>2561696082.071762</v>
      </c>
      <c r="D229" s="9">
        <v>1970535447.7475092</v>
      </c>
      <c r="E229" s="9">
        <v>878659741.6153101</v>
      </c>
      <c r="F229" s="9">
        <v>0</v>
      </c>
      <c r="G229" s="9">
        <v>0</v>
      </c>
      <c r="H229" s="9">
        <v>591160634.3242528</v>
      </c>
      <c r="I229" s="9">
        <v>0</v>
      </c>
      <c r="J229" s="9">
        <v>878659741.6153101</v>
      </c>
      <c r="K229" s="9">
        <v>0</v>
      </c>
      <c r="L229" s="0" t="inlineStr">
        <is>
          <t xml:space="preserve">ZERO_RESIDUAL_NO_SALE</t>
        </is>
      </c>
      <c r="M229" s="0" t="inlineStr">
        <is>
          <t xml:space="preserve">DISTRIBUTION</t>
        </is>
      </c>
    </row>
    <row r="230">
      <c r="A230" s="0" t="inlineStr">
        <is>
          <t xml:space="preserve">VG-016</t>
        </is>
      </c>
      <c r="B230" s="23">
        <v>4</v>
      </c>
      <c r="C230" s="9">
        <v>2568342478.553018</v>
      </c>
      <c r="D230" s="9">
        <v>1975648060.4253983</v>
      </c>
      <c r="E230" s="9">
        <v>878659741.6153101</v>
      </c>
      <c r="F230" s="9">
        <v>0</v>
      </c>
      <c r="G230" s="9">
        <v>0</v>
      </c>
      <c r="H230" s="9">
        <v>592694418.1276197</v>
      </c>
      <c r="I230" s="9">
        <v>0</v>
      </c>
      <c r="J230" s="9">
        <v>878659741.6153101</v>
      </c>
      <c r="K230" s="9">
        <v>0</v>
      </c>
      <c r="L230" s="0" t="inlineStr">
        <is>
          <t xml:space="preserve">ZERO_RESIDUAL_NO_SALE</t>
        </is>
      </c>
      <c r="M230" s="0" t="inlineStr">
        <is>
          <t xml:space="preserve">DISTRIBUTION</t>
        </is>
      </c>
    </row>
    <row r="231">
      <c r="A231" s="0" t="inlineStr">
        <is>
          <t xml:space="preserve">VG-016</t>
        </is>
      </c>
      <c r="B231" s="23">
        <v>5</v>
      </c>
      <c r="C231" s="9">
        <v>2473670771.652612</v>
      </c>
      <c r="D231" s="9">
        <v>1902823670.5020094</v>
      </c>
      <c r="E231" s="9">
        <v>878659741.6153101</v>
      </c>
      <c r="F231" s="9">
        <v>0</v>
      </c>
      <c r="G231" s="9">
        <v>0</v>
      </c>
      <c r="H231" s="9">
        <v>570847101.1506028</v>
      </c>
      <c r="I231" s="9">
        <v>0</v>
      </c>
      <c r="J231" s="9">
        <v>878659741.6153101</v>
      </c>
      <c r="K231" s="9">
        <v>0</v>
      </c>
      <c r="L231" s="0" t="inlineStr">
        <is>
          <t xml:space="preserve">ZERO_RESIDUAL_NO_SALE</t>
        </is>
      </c>
      <c r="M231" s="0" t="inlineStr">
        <is>
          <t xml:space="preserve">DISTRIBUTION</t>
        </is>
      </c>
    </row>
    <row r="232">
      <c r="A232" s="0" t="inlineStr">
        <is>
          <t xml:space="preserve">VG-016</t>
        </is>
      </c>
      <c r="B232" s="23">
        <v>6</v>
      </c>
      <c r="C232" s="9">
        <v>2581449944.9910107</v>
      </c>
      <c r="D232" s="9">
        <v>1985730726.916162</v>
      </c>
      <c r="E232" s="9">
        <v>878659741.6153101</v>
      </c>
      <c r="F232" s="9">
        <v>0</v>
      </c>
      <c r="G232" s="9">
        <v>0</v>
      </c>
      <c r="H232" s="9">
        <v>595719218.0748487</v>
      </c>
      <c r="I232" s="9">
        <v>0</v>
      </c>
      <c r="J232" s="9">
        <v>878659741.6153101</v>
      </c>
      <c r="K232" s="9">
        <v>0</v>
      </c>
      <c r="L232" s="0" t="inlineStr">
        <is>
          <t xml:space="preserve">ZERO_RESIDUAL_NO_SALE</t>
        </is>
      </c>
      <c r="M232" s="0" t="inlineStr">
        <is>
          <t xml:space="preserve">DISTRIBUTION</t>
        </is>
      </c>
    </row>
    <row r="233">
      <c r="A233" s="0" t="inlineStr">
        <is>
          <t xml:space="preserve">VG-016</t>
        </is>
      </c>
      <c r="B233" s="23">
        <v>7</v>
      </c>
      <c r="C233" s="9">
        <v>2587906604.2672687</v>
      </c>
      <c r="D233" s="9">
        <v>1990697387.897899</v>
      </c>
      <c r="E233" s="9">
        <v>878659741.6153101</v>
      </c>
      <c r="F233" s="9">
        <v>0</v>
      </c>
      <c r="G233" s="9">
        <v>0</v>
      </c>
      <c r="H233" s="9">
        <v>597209216.3693697</v>
      </c>
      <c r="I233" s="9">
        <v>0</v>
      </c>
      <c r="J233" s="9">
        <v>878659741.6153101</v>
      </c>
      <c r="K233" s="9">
        <v>0</v>
      </c>
      <c r="L233" s="0" t="inlineStr">
        <is>
          <t xml:space="preserve">ZERO_RESIDUAL_NO_SALE</t>
        </is>
      </c>
      <c r="M233" s="0" t="inlineStr">
        <is>
          <t xml:space="preserve">DISTRIBUTION</t>
        </is>
      </c>
    </row>
    <row r="234">
      <c r="A234" s="0" t="inlineStr">
        <is>
          <t xml:space="preserve">VG-016</t>
        </is>
      </c>
      <c r="B234" s="23">
        <v>8</v>
      </c>
      <c r="C234" s="9">
        <v>2594295525.510414</v>
      </c>
      <c r="D234" s="9">
        <v>761613967.6963958</v>
      </c>
      <c r="E234" s="9">
        <v>878659741.6153101</v>
      </c>
      <c r="F234" s="9">
        <v>0</v>
      </c>
      <c r="G234" s="9">
        <v>0</v>
      </c>
      <c r="H234" s="9">
        <v>1832681557.8140182</v>
      </c>
      <c r="I234" s="9">
        <v>0</v>
      </c>
      <c r="J234" s="9">
        <v>878659741.6153101</v>
      </c>
      <c r="K234" s="9">
        <v>0</v>
      </c>
      <c r="L234" s="0" t="inlineStr">
        <is>
          <t xml:space="preserve">ZERO_RESIDUAL_NO_SALE</t>
        </is>
      </c>
      <c r="M234" s="0" t="inlineStr">
        <is>
          <t xml:space="preserve">DISTRIBUTION</t>
        </is>
      </c>
    </row>
    <row r="235">
      <c r="A235" s="0" t="inlineStr">
        <is>
          <t xml:space="preserve">VG-016</t>
        </is>
      </c>
      <c r="B235" s="23">
        <v>9</v>
      </c>
      <c r="C235" s="9">
        <v>-165033188.87945175</v>
      </c>
      <c r="D235" s="9">
        <v>0</v>
      </c>
      <c r="E235" s="9">
        <v>878659741.6153101</v>
      </c>
      <c r="F235" s="9">
        <v>0</v>
      </c>
      <c r="G235" s="9">
        <v>0</v>
      </c>
      <c r="H235" s="9">
        <v>0</v>
      </c>
      <c r="I235" s="9">
        <v>0</v>
      </c>
      <c r="J235" s="9">
        <v>878659741.6153101</v>
      </c>
      <c r="K235" s="9">
        <v>0</v>
      </c>
      <c r="L235" s="0" t="inlineStr">
        <is>
          <t xml:space="preserve">ZERO_RESIDUAL_NO_SALE</t>
        </is>
      </c>
      <c r="M235" s="0" t="inlineStr">
        <is>
          <t xml:space="preserve">DISTRIBUTION</t>
        </is>
      </c>
    </row>
    <row r="236">
      <c r="A236" s="0" t="inlineStr">
        <is>
          <t xml:space="preserve">VG-016</t>
        </is>
      </c>
      <c r="B236" s="23">
        <v>10</v>
      </c>
      <c r="C236" s="9">
        <v>-549416768.1576091</v>
      </c>
      <c r="D236" s="9">
        <v>0</v>
      </c>
      <c r="E236" s="9">
        <v>878659741.6153101</v>
      </c>
      <c r="F236" s="9">
        <v>0</v>
      </c>
      <c r="G236" s="9">
        <v>0</v>
      </c>
      <c r="H236" s="9">
        <v>0</v>
      </c>
      <c r="I236" s="9">
        <v>0</v>
      </c>
      <c r="J236" s="9">
        <v>878659741.6153101</v>
      </c>
      <c r="K236" s="9">
        <v>0</v>
      </c>
      <c r="L236" s="0" t="inlineStr">
        <is>
          <t xml:space="preserve">ZERO_RESIDUAL_NO_SALE</t>
        </is>
      </c>
      <c r="M236" s="0" t="inlineStr">
        <is>
          <t xml:space="preserve">DISTRIBUTION</t>
        </is>
      </c>
    </row>
    <row r="237">
      <c r="A237" s="0" t="inlineStr">
        <is>
          <t xml:space="preserve">VG-016</t>
        </is>
      </c>
      <c r="B237" s="23">
        <v>11</v>
      </c>
      <c r="C237" s="9">
        <v>-457122907.498034</v>
      </c>
      <c r="D237" s="9">
        <v>0</v>
      </c>
      <c r="E237" s="9">
        <v>878659741.6153101</v>
      </c>
      <c r="F237" s="9">
        <v>0</v>
      </c>
      <c r="G237" s="9">
        <v>0</v>
      </c>
      <c r="H237" s="9">
        <v>0</v>
      </c>
      <c r="I237" s="9">
        <v>0</v>
      </c>
      <c r="J237" s="9">
        <v>878659741.6153101</v>
      </c>
      <c r="K237" s="9">
        <v>0</v>
      </c>
      <c r="L237" s="0" t="inlineStr">
        <is>
          <t xml:space="preserve">ZERO_RESIDUAL_NO_SALE</t>
        </is>
      </c>
      <c r="M237" s="0" t="inlineStr">
        <is>
          <t xml:space="preserve">DISTRIBUTION</t>
        </is>
      </c>
    </row>
    <row r="238">
      <c r="A238" s="0" t="inlineStr">
        <is>
          <t xml:space="preserve">VG-016</t>
        </is>
      </c>
      <c r="B238" s="23">
        <v>12</v>
      </c>
      <c r="C238" s="9">
        <v>-466265365.6479947</v>
      </c>
      <c r="D238" s="9">
        <v>0</v>
      </c>
      <c r="E238" s="9">
        <v>878659741.6153101</v>
      </c>
      <c r="F238" s="9">
        <v>0</v>
      </c>
      <c r="G238" s="9">
        <v>0</v>
      </c>
      <c r="H238" s="9">
        <v>0</v>
      </c>
      <c r="I238" s="9">
        <v>0</v>
      </c>
      <c r="J238" s="9">
        <v>878659741.6153101</v>
      </c>
      <c r="K238" s="9">
        <v>0</v>
      </c>
      <c r="L238" s="0" t="inlineStr">
        <is>
          <t xml:space="preserve">ZERO_RESIDUAL_NO_SALE</t>
        </is>
      </c>
      <c r="M238" s="0" t="inlineStr">
        <is>
          <t xml:space="preserve">DISTRIBUTION</t>
        </is>
      </c>
    </row>
    <row r="239">
      <c r="A239" s="0" t="inlineStr">
        <is>
          <t xml:space="preserve">VG-016</t>
        </is>
      </c>
      <c r="B239" s="23">
        <v>13</v>
      </c>
      <c r="C239" s="9">
        <v>-475590672.96095455</v>
      </c>
      <c r="D239" s="9">
        <v>0</v>
      </c>
      <c r="E239" s="9">
        <v>878659741.6153101</v>
      </c>
      <c r="F239" s="9">
        <v>0</v>
      </c>
      <c r="G239" s="9">
        <v>0</v>
      </c>
      <c r="H239" s="9">
        <v>0</v>
      </c>
      <c r="I239" s="9">
        <v>0</v>
      </c>
      <c r="J239" s="9">
        <v>878659741.6153101</v>
      </c>
      <c r="K239" s="9">
        <v>0</v>
      </c>
      <c r="L239" s="0" t="inlineStr">
        <is>
          <t xml:space="preserve">ZERO_RESIDUAL_NO_SALE</t>
        </is>
      </c>
      <c r="M239" s="0" t="inlineStr">
        <is>
          <t xml:space="preserve">DISTRIBUTION</t>
        </is>
      </c>
    </row>
    <row r="240">
      <c r="A240" s="0" t="inlineStr">
        <is>
          <t xml:space="preserve">VG-016</t>
        </is>
      </c>
      <c r="B240" s="23">
        <v>14</v>
      </c>
      <c r="C240" s="9">
        <v>-485102486.4201737</v>
      </c>
      <c r="D240" s="9">
        <v>0</v>
      </c>
      <c r="E240" s="9">
        <v>878659741.6153101</v>
      </c>
      <c r="F240" s="9">
        <v>0</v>
      </c>
      <c r="G240" s="9">
        <v>0</v>
      </c>
      <c r="H240" s="9">
        <v>0</v>
      </c>
      <c r="I240" s="9">
        <v>0</v>
      </c>
      <c r="J240" s="9">
        <v>878659741.6153101</v>
      </c>
      <c r="K240" s="9">
        <v>0</v>
      </c>
      <c r="L240" s="0" t="inlineStr">
        <is>
          <t xml:space="preserve">ZERO_RESIDUAL_NO_SALE</t>
        </is>
      </c>
      <c r="M240" s="0" t="inlineStr">
        <is>
          <t xml:space="preserve">DISTRIBUTION</t>
        </is>
      </c>
    </row>
    <row r="241">
      <c r="A241" s="0" t="inlineStr">
        <is>
          <t xml:space="preserve">VG-016</t>
        </is>
      </c>
      <c r="B241" s="23">
        <v>15</v>
      </c>
      <c r="C241" s="9">
        <v>-494804536.14857715</v>
      </c>
      <c r="D241" s="9">
        <v>0</v>
      </c>
      <c r="E241" s="9">
        <v>878659741.6153101</v>
      </c>
      <c r="F241" s="9">
        <v>0</v>
      </c>
      <c r="G241" s="9">
        <v>0</v>
      </c>
      <c r="H241" s="9">
        <v>0</v>
      </c>
      <c r="I241" s="9">
        <v>878659741.6153101</v>
      </c>
      <c r="J241" s="9">
        <v>0</v>
      </c>
      <c r="K241" s="9">
        <v>0</v>
      </c>
      <c r="L241" s="0" t="inlineStr">
        <is>
          <t xml:space="preserve">ZERO_RESIDUAL_NO_SALE</t>
        </is>
      </c>
      <c r="M241" s="0" t="inlineStr">
        <is>
          <t xml:space="preserve">RELEASE</t>
        </is>
      </c>
    </row>
    <row r="242">
      <c r="A242" s="0" t="inlineStr">
        <is>
          <t xml:space="preserve">VG-017</t>
        </is>
      </c>
      <c r="B242" s="23">
        <v>1</v>
      </c>
      <c r="C242" s="9">
        <v>2516151224.524699</v>
      </c>
      <c r="D242" s="9">
        <v>1935500941.9420762</v>
      </c>
      <c r="E242" s="9">
        <v>0</v>
      </c>
      <c r="F242" s="9">
        <v>967750470.9710382</v>
      </c>
      <c r="G242" s="9">
        <v>0</v>
      </c>
      <c r="H242" s="9">
        <v>580650282.582623</v>
      </c>
      <c r="I242" s="9">
        <v>0</v>
      </c>
      <c r="J242" s="9">
        <v>967750470.9710382</v>
      </c>
      <c r="K242" s="9">
        <v>0</v>
      </c>
      <c r="L242" s="0" t="inlineStr">
        <is>
          <t xml:space="preserve">ZERO_RESIDUAL_NO_SALE</t>
        </is>
      </c>
      <c r="M242" s="0" t="inlineStr">
        <is>
          <t xml:space="preserve">DISTRIBUTION</t>
        </is>
      </c>
    </row>
    <row r="243">
      <c r="A243" s="0" t="inlineStr">
        <is>
          <t xml:space="preserve">VG-017</t>
        </is>
      </c>
      <c r="B243" s="23">
        <v>2</v>
      </c>
      <c r="C243" s="9">
        <v>2813812732.5689726</v>
      </c>
      <c r="D243" s="9">
        <v>2164471332.745363</v>
      </c>
      <c r="E243" s="9">
        <v>967750470.9710382</v>
      </c>
      <c r="F243" s="9">
        <v>0</v>
      </c>
      <c r="G243" s="9">
        <v>0</v>
      </c>
      <c r="H243" s="9">
        <v>649341399.8236094</v>
      </c>
      <c r="I243" s="9">
        <v>0</v>
      </c>
      <c r="J243" s="9">
        <v>967750470.9710382</v>
      </c>
      <c r="K243" s="9">
        <v>0</v>
      </c>
      <c r="L243" s="0" t="inlineStr">
        <is>
          <t xml:space="preserve">ZERO_RESIDUAL_NO_SALE</t>
        </is>
      </c>
      <c r="M243" s="0" t="inlineStr">
        <is>
          <t xml:space="preserve">DISTRIBUTION</t>
        </is>
      </c>
    </row>
    <row r="244">
      <c r="A244" s="0" t="inlineStr">
        <is>
          <t xml:space="preserve">VG-017</t>
        </is>
      </c>
      <c r="B244" s="23">
        <v>3</v>
      </c>
      <c r="C244" s="9">
        <v>2820610833.845189</v>
      </c>
      <c r="D244" s="9">
        <v>2169700641.4193764</v>
      </c>
      <c r="E244" s="9">
        <v>967750470.9710382</v>
      </c>
      <c r="F244" s="9">
        <v>0</v>
      </c>
      <c r="G244" s="9">
        <v>0</v>
      </c>
      <c r="H244" s="9">
        <v>650910192.4258127</v>
      </c>
      <c r="I244" s="9">
        <v>0</v>
      </c>
      <c r="J244" s="9">
        <v>967750470.9710382</v>
      </c>
      <c r="K244" s="9">
        <v>0</v>
      </c>
      <c r="L244" s="0" t="inlineStr">
        <is>
          <t xml:space="preserve">ZERO_RESIDUAL_NO_SALE</t>
        </is>
      </c>
      <c r="M244" s="0" t="inlineStr">
        <is>
          <t xml:space="preserve">DISTRIBUTION</t>
        </is>
      </c>
    </row>
    <row r="245">
      <c r="A245" s="0" t="inlineStr">
        <is>
          <t xml:space="preserve">VG-017</t>
        </is>
      </c>
      <c r="B245" s="23">
        <v>4</v>
      </c>
      <c r="C245" s="9">
        <v>2827332058.522723</v>
      </c>
      <c r="D245" s="9">
        <v>2174870814.2482486</v>
      </c>
      <c r="E245" s="9">
        <v>967750470.9710382</v>
      </c>
      <c r="F245" s="9">
        <v>0</v>
      </c>
      <c r="G245" s="9">
        <v>0</v>
      </c>
      <c r="H245" s="9">
        <v>652461244.2744746</v>
      </c>
      <c r="I245" s="9">
        <v>0</v>
      </c>
      <c r="J245" s="9">
        <v>967750470.9710382</v>
      </c>
      <c r="K245" s="9">
        <v>0</v>
      </c>
      <c r="L245" s="0" t="inlineStr">
        <is>
          <t xml:space="preserve">ZERO_RESIDUAL_NO_SALE</t>
        </is>
      </c>
      <c r="M245" s="0" t="inlineStr">
        <is>
          <t xml:space="preserve">DISTRIBUTION</t>
        </is>
      </c>
    </row>
    <row r="246">
      <c r="A246" s="0" t="inlineStr">
        <is>
          <t xml:space="preserve">VG-017</t>
        </is>
      </c>
      <c r="B246" s="23">
        <v>5</v>
      </c>
      <c r="C246" s="9">
        <v>2712465349.6093197</v>
      </c>
      <c r="D246" s="9">
        <v>2086511807.3917842</v>
      </c>
      <c r="E246" s="9">
        <v>967750470.9710382</v>
      </c>
      <c r="F246" s="9">
        <v>0</v>
      </c>
      <c r="G246" s="9">
        <v>0</v>
      </c>
      <c r="H246" s="9">
        <v>625953542.2175355</v>
      </c>
      <c r="I246" s="9">
        <v>0</v>
      </c>
      <c r="J246" s="9">
        <v>967750470.9710382</v>
      </c>
      <c r="K246" s="9">
        <v>0</v>
      </c>
      <c r="L246" s="0" t="inlineStr">
        <is>
          <t xml:space="preserve">ZERO_RESIDUAL_NO_SALE</t>
        </is>
      </c>
      <c r="M246" s="0" t="inlineStr">
        <is>
          <t xml:space="preserve">DISTRIBUTION</t>
        </is>
      </c>
    </row>
    <row r="247">
      <c r="A247" s="0" t="inlineStr">
        <is>
          <t xml:space="preserve">VG-017</t>
        </is>
      </c>
      <c r="B247" s="23">
        <v>6</v>
      </c>
      <c r="C247" s="9">
        <v>2840533456.712347</v>
      </c>
      <c r="D247" s="9">
        <v>2185025735.9325747</v>
      </c>
      <c r="E247" s="9">
        <v>967750470.9710382</v>
      </c>
      <c r="F247" s="9">
        <v>0</v>
      </c>
      <c r="G247" s="9">
        <v>0</v>
      </c>
      <c r="H247" s="9">
        <v>655507720.7797723</v>
      </c>
      <c r="I247" s="9">
        <v>0</v>
      </c>
      <c r="J247" s="9">
        <v>967750470.9710382</v>
      </c>
      <c r="K247" s="9">
        <v>0</v>
      </c>
      <c r="L247" s="0" t="inlineStr">
        <is>
          <t xml:space="preserve">ZERO_RESIDUAL_NO_SALE</t>
        </is>
      </c>
      <c r="M247" s="0" t="inlineStr">
        <is>
          <t xml:space="preserve">DISTRIBUTION</t>
        </is>
      </c>
    </row>
    <row r="248">
      <c r="A248" s="0" t="inlineStr">
        <is>
          <t xml:space="preserve">VG-017</t>
        </is>
      </c>
      <c r="B248" s="23">
        <v>7</v>
      </c>
      <c r="C248" s="9">
        <v>2847008275.781336</v>
      </c>
      <c r="D248" s="9">
        <v>2190006365.985643</v>
      </c>
      <c r="E248" s="9">
        <v>967750470.9710382</v>
      </c>
      <c r="F248" s="9">
        <v>0</v>
      </c>
      <c r="G248" s="9">
        <v>0</v>
      </c>
      <c r="H248" s="9">
        <v>657001909.7956929</v>
      </c>
      <c r="I248" s="9">
        <v>0</v>
      </c>
      <c r="J248" s="9">
        <v>967750470.9710382</v>
      </c>
      <c r="K248" s="9">
        <v>0</v>
      </c>
      <c r="L248" s="0" t="inlineStr">
        <is>
          <t xml:space="preserve">ZERO_RESIDUAL_NO_SALE</t>
        </is>
      </c>
      <c r="M248" s="0" t="inlineStr">
        <is>
          <t xml:space="preserve">DISTRIBUTION</t>
        </is>
      </c>
    </row>
    <row r="249">
      <c r="A249" s="0" t="inlineStr">
        <is>
          <t xml:space="preserve">VG-017</t>
        </is>
      </c>
      <c r="B249" s="23">
        <v>8</v>
      </c>
      <c r="C249" s="9">
        <v>2853395507.00888</v>
      </c>
      <c r="D249" s="9">
        <v>2194919620.7760615</v>
      </c>
      <c r="E249" s="9">
        <v>967750470.9710382</v>
      </c>
      <c r="F249" s="9">
        <v>0</v>
      </c>
      <c r="G249" s="9">
        <v>0</v>
      </c>
      <c r="H249" s="9">
        <v>658475886.2328186</v>
      </c>
      <c r="I249" s="9">
        <v>0</v>
      </c>
      <c r="J249" s="9">
        <v>967750470.9710382</v>
      </c>
      <c r="K249" s="9">
        <v>0</v>
      </c>
      <c r="L249" s="0" t="inlineStr">
        <is>
          <t xml:space="preserve">ZERO_RESIDUAL_NO_SALE</t>
        </is>
      </c>
      <c r="M249" s="0" t="inlineStr">
        <is>
          <t xml:space="preserve">DISTRIBUTION</t>
        </is>
      </c>
    </row>
    <row r="250">
      <c r="A250" s="0" t="inlineStr">
        <is>
          <t xml:space="preserve">VG-017</t>
        </is>
      </c>
      <c r="B250" s="23">
        <v>9</v>
      </c>
      <c r="C250" s="9">
        <v>2859692324.0712504</v>
      </c>
      <c r="D250" s="9">
        <v>2199763326.208654</v>
      </c>
      <c r="E250" s="9">
        <v>967750470.9710382</v>
      </c>
      <c r="F250" s="9">
        <v>0</v>
      </c>
      <c r="G250" s="9">
        <v>0</v>
      </c>
      <c r="H250" s="9">
        <v>659928997.8625965</v>
      </c>
      <c r="I250" s="9">
        <v>0</v>
      </c>
      <c r="J250" s="9">
        <v>967750470.9710382</v>
      </c>
      <c r="K250" s="9">
        <v>0</v>
      </c>
      <c r="L250" s="0" t="inlineStr">
        <is>
          <t xml:space="preserve">ZERO_RESIDUAL_NO_SALE</t>
        </is>
      </c>
      <c r="M250" s="0" t="inlineStr">
        <is>
          <t xml:space="preserve">DISTRIBUTION</t>
        </is>
      </c>
    </row>
    <row r="251">
      <c r="A251" s="0" t="inlineStr">
        <is>
          <t xml:space="preserve">VG-017</t>
        </is>
      </c>
      <c r="B251" s="23">
        <v>10</v>
      </c>
      <c r="C251" s="9">
        <v>2744387372.890042</v>
      </c>
      <c r="D251" s="9">
        <v>939813954.2472123</v>
      </c>
      <c r="E251" s="9">
        <v>967750470.9710382</v>
      </c>
      <c r="F251" s="9">
        <v>0</v>
      </c>
      <c r="G251" s="9">
        <v>0</v>
      </c>
      <c r="H251" s="9">
        <v>1804573418.6428294</v>
      </c>
      <c r="I251" s="9">
        <v>0</v>
      </c>
      <c r="J251" s="9">
        <v>967750470.9710382</v>
      </c>
      <c r="K251" s="9">
        <v>0</v>
      </c>
      <c r="L251" s="0" t="inlineStr">
        <is>
          <t xml:space="preserve">ZERO_RESIDUAL_NO_SALE</t>
        </is>
      </c>
      <c r="M251" s="0" t="inlineStr">
        <is>
          <t xml:space="preserve">DISTRIBUTION</t>
        </is>
      </c>
    </row>
    <row r="252">
      <c r="A252" s="0" t="inlineStr">
        <is>
          <t xml:space="preserve">VG-017</t>
        </is>
      </c>
      <c r="B252" s="23">
        <v>11</v>
      </c>
      <c r="C252" s="9">
        <v>2872003099.9143925</v>
      </c>
      <c r="D252" s="9">
        <v>0</v>
      </c>
      <c r="E252" s="9">
        <v>967750470.9710382</v>
      </c>
      <c r="F252" s="9">
        <v>0</v>
      </c>
      <c r="G252" s="9">
        <v>0</v>
      </c>
      <c r="H252" s="9">
        <v>2872003099.9143925</v>
      </c>
      <c r="I252" s="9">
        <v>0</v>
      </c>
      <c r="J252" s="9">
        <v>967750470.9710382</v>
      </c>
      <c r="K252" s="9">
        <v>0</v>
      </c>
      <c r="L252" s="0" t="inlineStr">
        <is>
          <t xml:space="preserve">ZERO_RESIDUAL_NO_SALE</t>
        </is>
      </c>
      <c r="M252" s="0" t="inlineStr">
        <is>
          <t xml:space="preserve">DISTRIBUTION</t>
        </is>
      </c>
    </row>
    <row r="253">
      <c r="A253" s="0" t="inlineStr">
        <is>
          <t xml:space="preserve">VG-017</t>
        </is>
      </c>
      <c r="B253" s="23">
        <v>12</v>
      </c>
      <c r="C253" s="9">
        <v>2878011091.7414374</v>
      </c>
      <c r="D253" s="9">
        <v>0</v>
      </c>
      <c r="E253" s="9">
        <v>967750470.9710382</v>
      </c>
      <c r="F253" s="9">
        <v>0</v>
      </c>
      <c r="G253" s="9">
        <v>0</v>
      </c>
      <c r="H253" s="9">
        <v>2878011091.7414374</v>
      </c>
      <c r="I253" s="9">
        <v>0</v>
      </c>
      <c r="J253" s="9">
        <v>967750470.9710382</v>
      </c>
      <c r="K253" s="9">
        <v>0</v>
      </c>
      <c r="L253" s="0" t="inlineStr">
        <is>
          <t xml:space="preserve">ZERO_RESIDUAL_NO_SALE</t>
        </is>
      </c>
      <c r="M253" s="0" t="inlineStr">
        <is>
          <t xml:space="preserve">DISTRIBUTION</t>
        </is>
      </c>
    </row>
    <row r="254">
      <c r="A254" s="0" t="inlineStr">
        <is>
          <t xml:space="preserve">VG-017</t>
        </is>
      </c>
      <c r="B254" s="23">
        <v>13</v>
      </c>
      <c r="C254" s="9">
        <v>2883916732.8926754</v>
      </c>
      <c r="D254" s="9">
        <v>0</v>
      </c>
      <c r="E254" s="9">
        <v>967750470.9710382</v>
      </c>
      <c r="F254" s="9">
        <v>0</v>
      </c>
      <c r="G254" s="9">
        <v>0</v>
      </c>
      <c r="H254" s="9">
        <v>2883916732.8926754</v>
      </c>
      <c r="I254" s="9">
        <v>0</v>
      </c>
      <c r="J254" s="9">
        <v>967750470.9710382</v>
      </c>
      <c r="K254" s="9">
        <v>0</v>
      </c>
      <c r="L254" s="0" t="inlineStr">
        <is>
          <t xml:space="preserve">ZERO_RESIDUAL_NO_SALE</t>
        </is>
      </c>
      <c r="M254" s="0" t="inlineStr">
        <is>
          <t xml:space="preserve">DISTRIBUTION</t>
        </is>
      </c>
    </row>
    <row r="255">
      <c r="A255" s="0" t="inlineStr">
        <is>
          <t xml:space="preserve">VG-017</t>
        </is>
      </c>
      <c r="B255" s="23">
        <v>14</v>
      </c>
      <c r="C255" s="9">
        <v>2889716874.9275546</v>
      </c>
      <c r="D255" s="9">
        <v>0</v>
      </c>
      <c r="E255" s="9">
        <v>967750470.9710382</v>
      </c>
      <c r="F255" s="9">
        <v>0</v>
      </c>
      <c r="G255" s="9">
        <v>0</v>
      </c>
      <c r="H255" s="9">
        <v>2889716874.9275546</v>
      </c>
      <c r="I255" s="9">
        <v>0</v>
      </c>
      <c r="J255" s="9">
        <v>967750470.9710382</v>
      </c>
      <c r="K255" s="9">
        <v>0</v>
      </c>
      <c r="L255" s="0" t="inlineStr">
        <is>
          <t xml:space="preserve">ZERO_RESIDUAL_NO_SALE</t>
        </is>
      </c>
      <c r="M255" s="0" t="inlineStr">
        <is>
          <t xml:space="preserve">DISTRIBUTION</t>
        </is>
      </c>
    </row>
    <row r="256">
      <c r="A256" s="0" t="inlineStr">
        <is>
          <t xml:space="preserve">VG-017</t>
        </is>
      </c>
      <c r="B256" s="23">
        <v>15</v>
      </c>
      <c r="C256" s="9">
        <v>3208552873.9847736</v>
      </c>
      <c r="D256" s="9">
        <v>0</v>
      </c>
      <c r="E256" s="9">
        <v>967750470.9710382</v>
      </c>
      <c r="F256" s="9">
        <v>0</v>
      </c>
      <c r="G256" s="9">
        <v>0</v>
      </c>
      <c r="H256" s="9">
        <v>3208552873.9847736</v>
      </c>
      <c r="I256" s="9">
        <v>967750470.9710382</v>
      </c>
      <c r="J256" s="9">
        <v>0</v>
      </c>
      <c r="K256" s="9">
        <v>0</v>
      </c>
      <c r="L256" s="0" t="inlineStr">
        <is>
          <t xml:space="preserve">ZERO_RESIDUAL_NO_SALE</t>
        </is>
      </c>
      <c r="M256" s="0" t="inlineStr">
        <is>
          <t xml:space="preserve">RELEASE</t>
        </is>
      </c>
    </row>
    <row r="257">
      <c r="A257" s="0" t="inlineStr">
        <is>
          <t xml:space="preserve">VG-018</t>
        </is>
      </c>
      <c r="B257" s="23">
        <v>1</v>
      </c>
      <c r="C257" s="9">
        <v>2258686713.1284075</v>
      </c>
      <c r="D257" s="9">
        <v>1737451317.7910826</v>
      </c>
      <c r="E257" s="9">
        <v>0</v>
      </c>
      <c r="F257" s="9">
        <v>868725658.8955413</v>
      </c>
      <c r="G257" s="9">
        <v>0</v>
      </c>
      <c r="H257" s="9">
        <v>521235395.33732486</v>
      </c>
      <c r="I257" s="9">
        <v>0</v>
      </c>
      <c r="J257" s="9">
        <v>868725658.8955413</v>
      </c>
      <c r="K257" s="9">
        <v>0</v>
      </c>
      <c r="L257" s="0" t="inlineStr">
        <is>
          <t xml:space="preserve">ZERO_RESIDUAL_NO_SALE</t>
        </is>
      </c>
      <c r="M257" s="0" t="inlineStr">
        <is>
          <t xml:space="preserve">DISTRIBUTION</t>
        </is>
      </c>
    </row>
    <row r="258">
      <c r="A258" s="0" t="inlineStr">
        <is>
          <t xml:space="preserve">VG-018</t>
        </is>
      </c>
      <c r="B258" s="23">
        <v>2</v>
      </c>
      <c r="C258" s="9">
        <v>2525714034.237246</v>
      </c>
      <c r="D258" s="9">
        <v>1942856949.4132662</v>
      </c>
      <c r="E258" s="9">
        <v>868725658.8955413</v>
      </c>
      <c r="F258" s="9">
        <v>0</v>
      </c>
      <c r="G258" s="9">
        <v>0</v>
      </c>
      <c r="H258" s="9">
        <v>582857084.8239799</v>
      </c>
      <c r="I258" s="9">
        <v>0</v>
      </c>
      <c r="J258" s="9">
        <v>868725658.8955413</v>
      </c>
      <c r="K258" s="9">
        <v>0</v>
      </c>
      <c r="L258" s="0" t="inlineStr">
        <is>
          <t xml:space="preserve">ZERO_RESIDUAL_NO_SALE</t>
        </is>
      </c>
      <c r="M258" s="0" t="inlineStr">
        <is>
          <t xml:space="preserve">DISTRIBUTION</t>
        </is>
      </c>
    </row>
    <row r="259">
      <c r="A259" s="0" t="inlineStr">
        <is>
          <t xml:space="preserve">VG-018</t>
        </is>
      </c>
      <c r="B259" s="23">
        <v>3</v>
      </c>
      <c r="C259" s="9">
        <v>2531383141.6129704</v>
      </c>
      <c r="D259" s="9">
        <v>1947217801.2407463</v>
      </c>
      <c r="E259" s="9">
        <v>868725658.8955413</v>
      </c>
      <c r="F259" s="9">
        <v>0</v>
      </c>
      <c r="G259" s="9">
        <v>0</v>
      </c>
      <c r="H259" s="9">
        <v>584165340.3722241</v>
      </c>
      <c r="I259" s="9">
        <v>0</v>
      </c>
      <c r="J259" s="9">
        <v>868725658.8955413</v>
      </c>
      <c r="K259" s="9">
        <v>0</v>
      </c>
      <c r="L259" s="0" t="inlineStr">
        <is>
          <t xml:space="preserve">ZERO_RESIDUAL_NO_SALE</t>
        </is>
      </c>
      <c r="M259" s="0" t="inlineStr">
        <is>
          <t xml:space="preserve">DISTRIBUTION</t>
        </is>
      </c>
    </row>
    <row r="260">
      <c r="A260" s="0" t="inlineStr">
        <is>
          <t xml:space="preserve">VG-018</t>
        </is>
      </c>
      <c r="B260" s="23">
        <v>4</v>
      </c>
      <c r="C260" s="9">
        <v>2536974389.1702046</v>
      </c>
      <c r="D260" s="9">
        <v>1951518760.9001575</v>
      </c>
      <c r="E260" s="9">
        <v>868725658.8955413</v>
      </c>
      <c r="F260" s="9">
        <v>0</v>
      </c>
      <c r="G260" s="9">
        <v>0</v>
      </c>
      <c r="H260" s="9">
        <v>585455628.2700472</v>
      </c>
      <c r="I260" s="9">
        <v>0</v>
      </c>
      <c r="J260" s="9">
        <v>868725658.8955413</v>
      </c>
      <c r="K260" s="9">
        <v>0</v>
      </c>
      <c r="L260" s="0" t="inlineStr">
        <is>
          <t xml:space="preserve">ZERO_RESIDUAL_NO_SALE</t>
        </is>
      </c>
      <c r="M260" s="0" t="inlineStr">
        <is>
          <t xml:space="preserve">DISTRIBUTION</t>
        </is>
      </c>
    </row>
    <row r="261">
      <c r="A261" s="0" t="inlineStr">
        <is>
          <t xml:space="preserve">VG-018</t>
        </is>
      </c>
      <c r="B261" s="23">
        <v>5</v>
      </c>
      <c r="C261" s="9">
        <v>2426039659.9019675</v>
      </c>
      <c r="D261" s="9">
        <v>1866184353.770744</v>
      </c>
      <c r="E261" s="9">
        <v>868725658.8955413</v>
      </c>
      <c r="F261" s="9">
        <v>0</v>
      </c>
      <c r="G261" s="9">
        <v>0</v>
      </c>
      <c r="H261" s="9">
        <v>559855306.1312234</v>
      </c>
      <c r="I261" s="9">
        <v>0</v>
      </c>
      <c r="J261" s="9">
        <v>868725658.8955413</v>
      </c>
      <c r="K261" s="9">
        <v>0</v>
      </c>
      <c r="L261" s="0" t="inlineStr">
        <is>
          <t xml:space="preserve">ZERO_RESIDUAL_NO_SALE</t>
        </is>
      </c>
      <c r="M261" s="0" t="inlineStr">
        <is>
          <t xml:space="preserve">DISTRIBUTION</t>
        </is>
      </c>
    </row>
    <row r="262">
      <c r="A262" s="0" t="inlineStr">
        <is>
          <t xml:space="preserve">VG-018</t>
        </is>
      </c>
      <c r="B262" s="23">
        <v>6</v>
      </c>
      <c r="C262" s="9">
        <v>2547913234.6900086</v>
      </c>
      <c r="D262" s="9">
        <v>1959933257.4538527</v>
      </c>
      <c r="E262" s="9">
        <v>868725658.8955413</v>
      </c>
      <c r="F262" s="9">
        <v>0</v>
      </c>
      <c r="G262" s="9">
        <v>0</v>
      </c>
      <c r="H262" s="9">
        <v>587979977.236156</v>
      </c>
      <c r="I262" s="9">
        <v>0</v>
      </c>
      <c r="J262" s="9">
        <v>868725658.8955413</v>
      </c>
      <c r="K262" s="9">
        <v>0</v>
      </c>
      <c r="L262" s="0" t="inlineStr">
        <is>
          <t xml:space="preserve">ZERO_RESIDUAL_NO_SALE</t>
        </is>
      </c>
      <c r="M262" s="0" t="inlineStr">
        <is>
          <t xml:space="preserve">DISTRIBUTION</t>
        </is>
      </c>
    </row>
    <row r="263">
      <c r="A263" s="0" t="inlineStr">
        <is>
          <t xml:space="preserve">VG-018</t>
        </is>
      </c>
      <c r="B263" s="23">
        <v>7</v>
      </c>
      <c r="C263" s="9">
        <v>2553255659.557558</v>
      </c>
      <c r="D263" s="9">
        <v>1964042815.0442753</v>
      </c>
      <c r="E263" s="9">
        <v>868725658.8955413</v>
      </c>
      <c r="F263" s="9">
        <v>0</v>
      </c>
      <c r="G263" s="9">
        <v>0</v>
      </c>
      <c r="H263" s="9">
        <v>589212844.5132828</v>
      </c>
      <c r="I263" s="9">
        <v>0</v>
      </c>
      <c r="J263" s="9">
        <v>868725658.8955413</v>
      </c>
      <c r="K263" s="9">
        <v>0</v>
      </c>
      <c r="L263" s="0" t="inlineStr">
        <is>
          <t xml:space="preserve">ZERO_RESIDUAL_NO_SALE</t>
        </is>
      </c>
      <c r="M263" s="0" t="inlineStr">
        <is>
          <t xml:space="preserve">DISTRIBUTION</t>
        </is>
      </c>
    </row>
    <row r="264">
      <c r="A264" s="0" t="inlineStr">
        <is>
          <t xml:space="preserve">VG-018</t>
        </is>
      </c>
      <c r="B264" s="23">
        <v>8</v>
      </c>
      <c r="C264" s="9">
        <v>2558509876.1571946</v>
      </c>
      <c r="D264" s="9">
        <v>1968084520.1209188</v>
      </c>
      <c r="E264" s="9">
        <v>868725658.8955413</v>
      </c>
      <c r="F264" s="9">
        <v>0</v>
      </c>
      <c r="G264" s="9">
        <v>0</v>
      </c>
      <c r="H264" s="9">
        <v>590425356.0362759</v>
      </c>
      <c r="I264" s="9">
        <v>0</v>
      </c>
      <c r="J264" s="9">
        <v>868725658.8955413</v>
      </c>
      <c r="K264" s="9">
        <v>0</v>
      </c>
      <c r="L264" s="0" t="inlineStr">
        <is>
          <t xml:space="preserve">ZERO_RESIDUAL_NO_SALE</t>
        </is>
      </c>
      <c r="M264" s="0" t="inlineStr">
        <is>
          <t xml:space="preserve">DISTRIBUTION</t>
        </is>
      </c>
    </row>
    <row r="265">
      <c r="A265" s="0" t="inlineStr">
        <is>
          <t xml:space="preserve">VG-018</t>
        </is>
      </c>
      <c r="B265" s="23">
        <v>9</v>
      </c>
      <c r="C265" s="9">
        <v>2563673154.792571</v>
      </c>
      <c r="D265" s="9">
        <v>1972056272.9173622</v>
      </c>
      <c r="E265" s="9">
        <v>868725658.8955413</v>
      </c>
      <c r="F265" s="9">
        <v>0</v>
      </c>
      <c r="G265" s="9">
        <v>0</v>
      </c>
      <c r="H265" s="9">
        <v>591616881.8752089</v>
      </c>
      <c r="I265" s="9">
        <v>0</v>
      </c>
      <c r="J265" s="9">
        <v>868725658.8955413</v>
      </c>
      <c r="K265" s="9">
        <v>0</v>
      </c>
      <c r="L265" s="0" t="inlineStr">
        <is>
          <t xml:space="preserve">ZERO_RESIDUAL_NO_SALE</t>
        </is>
      </c>
      <c r="M265" s="0" t="inlineStr">
        <is>
          <t xml:space="preserve">DISTRIBUTION</t>
        </is>
      </c>
    </row>
    <row r="266">
      <c r="A266" s="0" t="inlineStr">
        <is>
          <t xml:space="preserve">VG-018</t>
        </is>
      </c>
      <c r="B266" s="23">
        <v>10</v>
      </c>
      <c r="C266" s="9">
        <v>2452297093.231156</v>
      </c>
      <c r="D266" s="9">
        <v>836136724.4305117</v>
      </c>
      <c r="E266" s="9">
        <v>868725658.8955413</v>
      </c>
      <c r="F266" s="9">
        <v>0</v>
      </c>
      <c r="G266" s="9">
        <v>0</v>
      </c>
      <c r="H266" s="9">
        <v>1616160368.8006442</v>
      </c>
      <c r="I266" s="9">
        <v>0</v>
      </c>
      <c r="J266" s="9">
        <v>868725658.8955413</v>
      </c>
      <c r="K266" s="9">
        <v>0</v>
      </c>
      <c r="L266" s="0" t="inlineStr">
        <is>
          <t xml:space="preserve">ZERO_RESIDUAL_NO_SALE</t>
        </is>
      </c>
      <c r="M266" s="0" t="inlineStr">
        <is>
          <t xml:space="preserve">DISTRIBUTION</t>
        </is>
      </c>
    </row>
    <row r="267">
      <c r="A267" s="0" t="inlineStr">
        <is>
          <t xml:space="preserve">VG-018</t>
        </is>
      </c>
      <c r="B267" s="23">
        <v>11</v>
      </c>
      <c r="C267" s="9">
        <v>2573715681.3075066</v>
      </c>
      <c r="D267" s="9">
        <v>0</v>
      </c>
      <c r="E267" s="9">
        <v>868725658.8955413</v>
      </c>
      <c r="F267" s="9">
        <v>0</v>
      </c>
      <c r="G267" s="9">
        <v>0</v>
      </c>
      <c r="H267" s="9">
        <v>2573715681.3075066</v>
      </c>
      <c r="I267" s="9">
        <v>0</v>
      </c>
      <c r="J267" s="9">
        <v>868725658.8955413</v>
      </c>
      <c r="K267" s="9">
        <v>0</v>
      </c>
      <c r="L267" s="0" t="inlineStr">
        <is>
          <t xml:space="preserve">ZERO_RESIDUAL_NO_SALE</t>
        </is>
      </c>
      <c r="M267" s="0" t="inlineStr">
        <is>
          <t xml:space="preserve">DISTRIBUTION</t>
        </is>
      </c>
    </row>
    <row r="268">
      <c r="A268" s="0" t="inlineStr">
        <is>
          <t xml:space="preserve">VG-018</t>
        </is>
      </c>
      <c r="B268" s="23">
        <v>12</v>
      </c>
      <c r="C268" s="9">
        <v>2578589168.0590105</v>
      </c>
      <c r="D268" s="9">
        <v>0</v>
      </c>
      <c r="E268" s="9">
        <v>868725658.8955413</v>
      </c>
      <c r="F268" s="9">
        <v>0</v>
      </c>
      <c r="G268" s="9">
        <v>0</v>
      </c>
      <c r="H268" s="9">
        <v>2578589168.0590105</v>
      </c>
      <c r="I268" s="9">
        <v>0</v>
      </c>
      <c r="J268" s="9">
        <v>868725658.8955413</v>
      </c>
      <c r="K268" s="9">
        <v>0</v>
      </c>
      <c r="L268" s="0" t="inlineStr">
        <is>
          <t xml:space="preserve">ZERO_RESIDUAL_NO_SALE</t>
        </is>
      </c>
      <c r="M268" s="0" t="inlineStr">
        <is>
          <t xml:space="preserve">DISTRIBUTION</t>
        </is>
      </c>
    </row>
    <row r="269">
      <c r="A269" s="0" t="inlineStr">
        <is>
          <t xml:space="preserve">VG-018</t>
        </is>
      </c>
      <c r="B269" s="23">
        <v>13</v>
      </c>
      <c r="C269" s="9">
        <v>2583360192.0943904</v>
      </c>
      <c r="D269" s="9">
        <v>0</v>
      </c>
      <c r="E269" s="9">
        <v>868725658.8955413</v>
      </c>
      <c r="F269" s="9">
        <v>0</v>
      </c>
      <c r="G269" s="9">
        <v>0</v>
      </c>
      <c r="H269" s="9">
        <v>2583360192.0943904</v>
      </c>
      <c r="I269" s="9">
        <v>0</v>
      </c>
      <c r="J269" s="9">
        <v>868725658.8955413</v>
      </c>
      <c r="K269" s="9">
        <v>0</v>
      </c>
      <c r="L269" s="0" t="inlineStr">
        <is>
          <t xml:space="preserve">ZERO_RESIDUAL_NO_SALE</t>
        </is>
      </c>
      <c r="M269" s="0" t="inlineStr">
        <is>
          <t xml:space="preserve">DISTRIBUTION</t>
        </is>
      </c>
    </row>
    <row r="270">
      <c r="A270" s="0" t="inlineStr">
        <is>
          <t xml:space="preserve">VG-018</t>
        </is>
      </c>
      <c r="B270" s="23">
        <v>14</v>
      </c>
      <c r="C270" s="9">
        <v>2588025714.4936905</v>
      </c>
      <c r="D270" s="9">
        <v>0</v>
      </c>
      <c r="E270" s="9">
        <v>868725658.8955413</v>
      </c>
      <c r="F270" s="9">
        <v>0</v>
      </c>
      <c r="G270" s="9">
        <v>0</v>
      </c>
      <c r="H270" s="9">
        <v>2588025714.4936905</v>
      </c>
      <c r="I270" s="9">
        <v>0</v>
      </c>
      <c r="J270" s="9">
        <v>868725658.8955413</v>
      </c>
      <c r="K270" s="9">
        <v>0</v>
      </c>
      <c r="L270" s="0" t="inlineStr">
        <is>
          <t xml:space="preserve">ZERO_RESIDUAL_NO_SALE</t>
        </is>
      </c>
      <c r="M270" s="0" t="inlineStr">
        <is>
          <t xml:space="preserve">DISTRIBUTION</t>
        </is>
      </c>
    </row>
    <row r="271">
      <c r="A271" s="0" t="inlineStr">
        <is>
          <t xml:space="preserve">VG-018</t>
        </is>
      </c>
      <c r="B271" s="23">
        <v>15</v>
      </c>
      <c r="C271" s="9">
        <v>2873952537.119789</v>
      </c>
      <c r="D271" s="9">
        <v>0</v>
      </c>
      <c r="E271" s="9">
        <v>868725658.8955413</v>
      </c>
      <c r="F271" s="9">
        <v>0</v>
      </c>
      <c r="G271" s="9">
        <v>0</v>
      </c>
      <c r="H271" s="9">
        <v>2873952537.119789</v>
      </c>
      <c r="I271" s="9">
        <v>868725658.8955413</v>
      </c>
      <c r="J271" s="9">
        <v>0</v>
      </c>
      <c r="K271" s="9">
        <v>0</v>
      </c>
      <c r="L271" s="0" t="inlineStr">
        <is>
          <t xml:space="preserve">ZERO_RESIDUAL_NO_SALE</t>
        </is>
      </c>
      <c r="M271" s="0" t="inlineStr">
        <is>
          <t xml:space="preserve">RELEASE</t>
        </is>
      </c>
    </row>
    <row r="272">
      <c r="A272" s="0" t="inlineStr">
        <is>
          <t xml:space="preserve">VG-019</t>
        </is>
      </c>
      <c r="B272" s="23">
        <v>1</v>
      </c>
      <c r="C272" s="9">
        <v>2214615534.0618515</v>
      </c>
      <c r="D272" s="9">
        <v>1703550410.8168087</v>
      </c>
      <c r="E272" s="9">
        <v>0</v>
      </c>
      <c r="F272" s="9">
        <v>851775205.4084044</v>
      </c>
      <c r="G272" s="9">
        <v>0</v>
      </c>
      <c r="H272" s="9">
        <v>511065123.2450428</v>
      </c>
      <c r="I272" s="9">
        <v>0</v>
      </c>
      <c r="J272" s="9">
        <v>851775205.4084044</v>
      </c>
      <c r="K272" s="9">
        <v>0</v>
      </c>
      <c r="L272" s="0" t="inlineStr">
        <is>
          <t xml:space="preserve">ZERO_RESIDUAL_NO_SALE</t>
        </is>
      </c>
      <c r="M272" s="0" t="inlineStr">
        <is>
          <t xml:space="preserve">DISTRIBUTION</t>
        </is>
      </c>
    </row>
    <row r="273">
      <c r="A273" s="0" t="inlineStr">
        <is>
          <t xml:space="preserve">VG-019</t>
        </is>
      </c>
      <c r="B273" s="23">
        <v>2</v>
      </c>
      <c r="C273" s="9">
        <v>2476620247.9002347</v>
      </c>
      <c r="D273" s="9">
        <v>1905092498.384796</v>
      </c>
      <c r="E273" s="9">
        <v>851775205.4084044</v>
      </c>
      <c r="F273" s="9">
        <v>0</v>
      </c>
      <c r="G273" s="9">
        <v>0</v>
      </c>
      <c r="H273" s="9">
        <v>571527749.5154388</v>
      </c>
      <c r="I273" s="9">
        <v>0</v>
      </c>
      <c r="J273" s="9">
        <v>851775205.4084044</v>
      </c>
      <c r="K273" s="9">
        <v>0</v>
      </c>
      <c r="L273" s="0" t="inlineStr">
        <is>
          <t xml:space="preserve">ZERO_RESIDUAL_NO_SALE</t>
        </is>
      </c>
      <c r="M273" s="0" t="inlineStr">
        <is>
          <t xml:space="preserve">DISTRIBUTION</t>
        </is>
      </c>
    </row>
    <row r="274">
      <c r="A274" s="0" t="inlineStr">
        <is>
          <t xml:space="preserve">VG-019</t>
        </is>
      </c>
      <c r="B274" s="23">
        <v>3</v>
      </c>
      <c r="C274" s="9">
        <v>2482640530.3460913</v>
      </c>
      <c r="D274" s="9">
        <v>1909723484.8816085</v>
      </c>
      <c r="E274" s="9">
        <v>851775205.4084044</v>
      </c>
      <c r="F274" s="9">
        <v>0</v>
      </c>
      <c r="G274" s="9">
        <v>0</v>
      </c>
      <c r="H274" s="9">
        <v>572917045.4644828</v>
      </c>
      <c r="I274" s="9">
        <v>0</v>
      </c>
      <c r="J274" s="9">
        <v>851775205.4084044</v>
      </c>
      <c r="K274" s="9">
        <v>0</v>
      </c>
      <c r="L274" s="0" t="inlineStr">
        <is>
          <t xml:space="preserve">ZERO_RESIDUAL_NO_SALE</t>
        </is>
      </c>
      <c r="M274" s="0" t="inlineStr">
        <is>
          <t xml:space="preserve">DISTRIBUTION</t>
        </is>
      </c>
    </row>
    <row r="275">
      <c r="A275" s="0" t="inlineStr">
        <is>
          <t xml:space="preserve">VG-019</t>
        </is>
      </c>
      <c r="B275" s="23">
        <v>4</v>
      </c>
      <c r="C275" s="9">
        <v>2488593901.8900547</v>
      </c>
      <c r="D275" s="9">
        <v>1914303001.4538884</v>
      </c>
      <c r="E275" s="9">
        <v>851775205.4084044</v>
      </c>
      <c r="F275" s="9">
        <v>0</v>
      </c>
      <c r="G275" s="9">
        <v>0</v>
      </c>
      <c r="H275" s="9">
        <v>574290900.4361663</v>
      </c>
      <c r="I275" s="9">
        <v>0</v>
      </c>
      <c r="J275" s="9">
        <v>851775205.4084044</v>
      </c>
      <c r="K275" s="9">
        <v>0</v>
      </c>
      <c r="L275" s="0" t="inlineStr">
        <is>
          <t xml:space="preserve">ZERO_RESIDUAL_NO_SALE</t>
        </is>
      </c>
      <c r="M275" s="0" t="inlineStr">
        <is>
          <t xml:space="preserve">DISTRIBUTION</t>
        </is>
      </c>
    </row>
    <row r="276">
      <c r="A276" s="0" t="inlineStr">
        <is>
          <t xml:space="preserve">VG-019</t>
        </is>
      </c>
      <c r="B276" s="23">
        <v>5</v>
      </c>
      <c r="C276" s="9">
        <v>2388158189.4267054</v>
      </c>
      <c r="D276" s="9">
        <v>1837044761.0974655</v>
      </c>
      <c r="E276" s="9">
        <v>851775205.4084044</v>
      </c>
      <c r="F276" s="9">
        <v>0</v>
      </c>
      <c r="G276" s="9">
        <v>0</v>
      </c>
      <c r="H276" s="9">
        <v>551113428.3292398</v>
      </c>
      <c r="I276" s="9">
        <v>0</v>
      </c>
      <c r="J276" s="9">
        <v>851775205.4084044</v>
      </c>
      <c r="K276" s="9">
        <v>0</v>
      </c>
      <c r="L276" s="0" t="inlineStr">
        <is>
          <t xml:space="preserve">ZERO_RESIDUAL_NO_SALE</t>
        </is>
      </c>
      <c r="M276" s="0" t="inlineStr">
        <is>
          <t xml:space="preserve">DISTRIBUTION</t>
        </is>
      </c>
    </row>
    <row r="277">
      <c r="A277" s="0" t="inlineStr">
        <is>
          <t xml:space="preserve">VG-019</t>
        </is>
      </c>
      <c r="B277" s="23">
        <v>6</v>
      </c>
      <c r="C277" s="9">
        <v>2500290800.6340218</v>
      </c>
      <c r="D277" s="9">
        <v>1923300615.8723245</v>
      </c>
      <c r="E277" s="9">
        <v>851775205.4084044</v>
      </c>
      <c r="F277" s="9">
        <v>0</v>
      </c>
      <c r="G277" s="9">
        <v>0</v>
      </c>
      <c r="H277" s="9">
        <v>576990184.7616973</v>
      </c>
      <c r="I277" s="9">
        <v>0</v>
      </c>
      <c r="J277" s="9">
        <v>851775205.4084044</v>
      </c>
      <c r="K277" s="9">
        <v>0</v>
      </c>
      <c r="L277" s="0" t="inlineStr">
        <is>
          <t xml:space="preserve">ZERO_RESIDUAL_NO_SALE</t>
        </is>
      </c>
      <c r="M277" s="0" t="inlineStr">
        <is>
          <t xml:space="preserve">DISTRIBUTION</t>
        </is>
      </c>
    </row>
    <row r="278">
      <c r="A278" s="0" t="inlineStr">
        <is>
          <t xml:space="preserve">VG-019</t>
        </is>
      </c>
      <c r="B278" s="23">
        <v>7</v>
      </c>
      <c r="C278" s="9">
        <v>2506029646.2481394</v>
      </c>
      <c r="D278" s="9">
        <v>1927715112.4985688</v>
      </c>
      <c r="E278" s="9">
        <v>851775205.4084044</v>
      </c>
      <c r="F278" s="9">
        <v>0</v>
      </c>
      <c r="G278" s="9">
        <v>0</v>
      </c>
      <c r="H278" s="9">
        <v>578314533.7495706</v>
      </c>
      <c r="I278" s="9">
        <v>0</v>
      </c>
      <c r="J278" s="9">
        <v>851775205.4084044</v>
      </c>
      <c r="K278" s="9">
        <v>0</v>
      </c>
      <c r="L278" s="0" t="inlineStr">
        <is>
          <t xml:space="preserve">ZERO_RESIDUAL_NO_SALE</t>
        </is>
      </c>
      <c r="M278" s="0" t="inlineStr">
        <is>
          <t xml:space="preserve">DISTRIBUTION</t>
        </is>
      </c>
    </row>
    <row r="279">
      <c r="A279" s="0" t="inlineStr">
        <is>
          <t xml:space="preserve">VG-019</t>
        </is>
      </c>
      <c r="B279" s="23">
        <v>8</v>
      </c>
      <c r="C279" s="9">
        <v>2511692215.7266912</v>
      </c>
      <c r="D279" s="9">
        <v>1932070935.174378</v>
      </c>
      <c r="E279" s="9">
        <v>851775205.4084044</v>
      </c>
      <c r="F279" s="9">
        <v>0</v>
      </c>
      <c r="G279" s="9">
        <v>0</v>
      </c>
      <c r="H279" s="9">
        <v>579621280.5523133</v>
      </c>
      <c r="I279" s="9">
        <v>0</v>
      </c>
      <c r="J279" s="9">
        <v>851775205.4084044</v>
      </c>
      <c r="K279" s="9">
        <v>0</v>
      </c>
      <c r="L279" s="0" t="inlineStr">
        <is>
          <t xml:space="preserve">ZERO_RESIDUAL_NO_SALE</t>
        </is>
      </c>
      <c r="M279" s="0" t="inlineStr">
        <is>
          <t xml:space="preserve">DISTRIBUTION</t>
        </is>
      </c>
    </row>
    <row r="280">
      <c r="A280" s="0" t="inlineStr">
        <is>
          <t xml:space="preserve">VG-019</t>
        </is>
      </c>
      <c r="B280" s="23">
        <v>9</v>
      </c>
      <c r="C280" s="9">
        <v>2517276037.83438</v>
      </c>
      <c r="D280" s="9">
        <v>1936366182.949523</v>
      </c>
      <c r="E280" s="9">
        <v>851775205.4084044</v>
      </c>
      <c r="F280" s="9">
        <v>0</v>
      </c>
      <c r="G280" s="9">
        <v>0</v>
      </c>
      <c r="H280" s="9">
        <v>580909854.8848572</v>
      </c>
      <c r="I280" s="9">
        <v>0</v>
      </c>
      <c r="J280" s="9">
        <v>851775205.4084044</v>
      </c>
      <c r="K280" s="9">
        <v>0</v>
      </c>
      <c r="L280" s="0" t="inlineStr">
        <is>
          <t xml:space="preserve">ZERO_RESIDUAL_NO_SALE</t>
        </is>
      </c>
      <c r="M280" s="0" t="inlineStr">
        <is>
          <t xml:space="preserve">DISTRIBUTION</t>
        </is>
      </c>
    </row>
    <row r="281">
      <c r="A281" s="0" t="inlineStr">
        <is>
          <t xml:space="preserve">VG-019</t>
        </is>
      </c>
      <c r="B281" s="23">
        <v>10</v>
      </c>
      <c r="C281" s="9">
        <v>2416458679.559469</v>
      </c>
      <c r="D281" s="9">
        <v>827825535.443697</v>
      </c>
      <c r="E281" s="9">
        <v>851775205.4084044</v>
      </c>
      <c r="F281" s="9">
        <v>0</v>
      </c>
      <c r="G281" s="9">
        <v>0</v>
      </c>
      <c r="H281" s="9">
        <v>1588633144.1157722</v>
      </c>
      <c r="I281" s="9">
        <v>0</v>
      </c>
      <c r="J281" s="9">
        <v>851775205.4084044</v>
      </c>
      <c r="K281" s="9">
        <v>0</v>
      </c>
      <c r="L281" s="0" t="inlineStr">
        <is>
          <t xml:space="preserve">ZERO_RESIDUAL_NO_SALE</t>
        </is>
      </c>
      <c r="M281" s="0" t="inlineStr">
        <is>
          <t xml:space="preserve">DISTRIBUTION</t>
        </is>
      </c>
    </row>
    <row r="282">
      <c r="A282" s="0" t="inlineStr">
        <is>
          <t xml:space="preserve">VG-019</t>
        </is>
      </c>
      <c r="B282" s="23">
        <v>11</v>
      </c>
      <c r="C282" s="9">
        <v>2528197283.360766</v>
      </c>
      <c r="D282" s="9">
        <v>0</v>
      </c>
      <c r="E282" s="9">
        <v>851775205.4084044</v>
      </c>
      <c r="F282" s="9">
        <v>0</v>
      </c>
      <c r="G282" s="9">
        <v>0</v>
      </c>
      <c r="H282" s="9">
        <v>2528197283.360766</v>
      </c>
      <c r="I282" s="9">
        <v>0</v>
      </c>
      <c r="J282" s="9">
        <v>851775205.4084044</v>
      </c>
      <c r="K282" s="9">
        <v>0</v>
      </c>
      <c r="L282" s="0" t="inlineStr">
        <is>
          <t xml:space="preserve">ZERO_RESIDUAL_NO_SALE</t>
        </is>
      </c>
      <c r="M282" s="0" t="inlineStr">
        <is>
          <t xml:space="preserve">DISTRIBUTION</t>
        </is>
      </c>
    </row>
    <row r="283">
      <c r="A283" s="0" t="inlineStr">
        <is>
          <t xml:space="preserve">VG-019</t>
        </is>
      </c>
      <c r="B283" s="23">
        <v>12</v>
      </c>
      <c r="C283" s="9">
        <v>2533529489.3355613</v>
      </c>
      <c r="D283" s="9">
        <v>0</v>
      </c>
      <c r="E283" s="9">
        <v>851775205.4084044</v>
      </c>
      <c r="F283" s="9">
        <v>0</v>
      </c>
      <c r="G283" s="9">
        <v>0</v>
      </c>
      <c r="H283" s="9">
        <v>2533529489.3355613</v>
      </c>
      <c r="I283" s="9">
        <v>0</v>
      </c>
      <c r="J283" s="9">
        <v>851775205.4084044</v>
      </c>
      <c r="K283" s="9">
        <v>0</v>
      </c>
      <c r="L283" s="0" t="inlineStr">
        <is>
          <t xml:space="preserve">ZERO_RESIDUAL_NO_SALE</t>
        </is>
      </c>
      <c r="M283" s="0" t="inlineStr">
        <is>
          <t xml:space="preserve">DISTRIBUTION</t>
        </is>
      </c>
    </row>
    <row r="284">
      <c r="A284" s="0" t="inlineStr">
        <is>
          <t xml:space="preserve">VG-019</t>
        </is>
      </c>
      <c r="B284" s="23">
        <v>13</v>
      </c>
      <c r="C284" s="9">
        <v>2538772510.7740006</v>
      </c>
      <c r="D284" s="9">
        <v>0</v>
      </c>
      <c r="E284" s="9">
        <v>851775205.4084044</v>
      </c>
      <c r="F284" s="9">
        <v>0</v>
      </c>
      <c r="G284" s="9">
        <v>0</v>
      </c>
      <c r="H284" s="9">
        <v>2538772510.7740006</v>
      </c>
      <c r="I284" s="9">
        <v>0</v>
      </c>
      <c r="J284" s="9">
        <v>851775205.4084044</v>
      </c>
      <c r="K284" s="9">
        <v>0</v>
      </c>
      <c r="L284" s="0" t="inlineStr">
        <is>
          <t xml:space="preserve">ZERO_RESIDUAL_NO_SALE</t>
        </is>
      </c>
      <c r="M284" s="0" t="inlineStr">
        <is>
          <t xml:space="preserve">DISTRIBUTION</t>
        </is>
      </c>
    </row>
    <row r="285">
      <c r="A285" s="0" t="inlineStr">
        <is>
          <t xml:space="preserve">VG-019</t>
        </is>
      </c>
      <c r="B285" s="23">
        <v>14</v>
      </c>
      <c r="C285" s="9">
        <v>2543923594.633509</v>
      </c>
      <c r="D285" s="9">
        <v>0</v>
      </c>
      <c r="E285" s="9">
        <v>851775205.4084044</v>
      </c>
      <c r="F285" s="9">
        <v>0</v>
      </c>
      <c r="G285" s="9">
        <v>0</v>
      </c>
      <c r="H285" s="9">
        <v>2543923594.633509</v>
      </c>
      <c r="I285" s="9">
        <v>0</v>
      </c>
      <c r="J285" s="9">
        <v>851775205.4084044</v>
      </c>
      <c r="K285" s="9">
        <v>0</v>
      </c>
      <c r="L285" s="0" t="inlineStr">
        <is>
          <t xml:space="preserve">ZERO_RESIDUAL_NO_SALE</t>
        </is>
      </c>
      <c r="M285" s="0" t="inlineStr">
        <is>
          <t xml:space="preserve">DISTRIBUTION</t>
        </is>
      </c>
    </row>
    <row r="286">
      <c r="A286" s="0" t="inlineStr">
        <is>
          <t xml:space="preserve">VG-019</t>
        </is>
      </c>
      <c r="B286" s="23">
        <v>15</v>
      </c>
      <c r="C286" s="9">
        <v>2824574461.3722215</v>
      </c>
      <c r="D286" s="9">
        <v>0</v>
      </c>
      <c r="E286" s="9">
        <v>851775205.4084044</v>
      </c>
      <c r="F286" s="9">
        <v>0</v>
      </c>
      <c r="G286" s="9">
        <v>0</v>
      </c>
      <c r="H286" s="9">
        <v>2824574461.3722215</v>
      </c>
      <c r="I286" s="9">
        <v>851775205.4084044</v>
      </c>
      <c r="J286" s="9">
        <v>0</v>
      </c>
      <c r="K286" s="9">
        <v>0</v>
      </c>
      <c r="L286" s="0" t="inlineStr">
        <is>
          <t xml:space="preserve">ZERO_RESIDUAL_NO_SALE</t>
        </is>
      </c>
      <c r="M286" s="0" t="inlineStr">
        <is>
          <t xml:space="preserve">RELEASE</t>
        </is>
      </c>
    </row>
    <row r="287">
      <c r="A287" s="0" t="inlineStr">
        <is>
          <t xml:space="preserve">VG-020</t>
        </is>
      </c>
      <c r="B287" s="23">
        <v>1</v>
      </c>
      <c r="C287" s="9">
        <v>2233622607.596098</v>
      </c>
      <c r="D287" s="9">
        <v>1718171236.612383</v>
      </c>
      <c r="E287" s="9">
        <v>0</v>
      </c>
      <c r="F287" s="9">
        <v>859085618.3061914</v>
      </c>
      <c r="G287" s="9">
        <v>0</v>
      </c>
      <c r="H287" s="9">
        <v>515451370.98371506</v>
      </c>
      <c r="I287" s="9">
        <v>0</v>
      </c>
      <c r="J287" s="9">
        <v>859085618.3061914</v>
      </c>
      <c r="K287" s="9">
        <v>0</v>
      </c>
      <c r="L287" s="0" t="inlineStr">
        <is>
          <t xml:space="preserve">ZERO_RESIDUAL_NO_SALE</t>
        </is>
      </c>
      <c r="M287" s="0" t="inlineStr">
        <is>
          <t xml:space="preserve">DISTRIBUTION</t>
        </is>
      </c>
    </row>
    <row r="288">
      <c r="A288" s="0" t="inlineStr">
        <is>
          <t xml:space="preserve">VG-020</t>
        </is>
      </c>
      <c r="B288" s="23">
        <v>2</v>
      </c>
      <c r="C288" s="9">
        <v>2497897788.9142294</v>
      </c>
      <c r="D288" s="9">
        <v>1921459837.6263301</v>
      </c>
      <c r="E288" s="9">
        <v>859085618.3061914</v>
      </c>
      <c r="F288" s="9">
        <v>0</v>
      </c>
      <c r="G288" s="9">
        <v>0</v>
      </c>
      <c r="H288" s="9">
        <v>576437951.2878993</v>
      </c>
      <c r="I288" s="9">
        <v>0</v>
      </c>
      <c r="J288" s="9">
        <v>859085618.3061914</v>
      </c>
      <c r="K288" s="9">
        <v>0</v>
      </c>
      <c r="L288" s="0" t="inlineStr">
        <is>
          <t xml:space="preserve">ZERO_RESIDUAL_NO_SALE</t>
        </is>
      </c>
      <c r="M288" s="0" t="inlineStr">
        <is>
          <t xml:space="preserve">DISTRIBUTION</t>
        </is>
      </c>
    </row>
    <row r="289">
      <c r="A289" s="0" t="inlineStr">
        <is>
          <t xml:space="preserve">VG-020</t>
        </is>
      </c>
      <c r="B289" s="23">
        <v>3</v>
      </c>
      <c r="C289" s="9">
        <v>2504023395.188105</v>
      </c>
      <c r="D289" s="9">
        <v>1926171842.4523885</v>
      </c>
      <c r="E289" s="9">
        <v>859085618.3061914</v>
      </c>
      <c r="F289" s="9">
        <v>0</v>
      </c>
      <c r="G289" s="9">
        <v>0</v>
      </c>
      <c r="H289" s="9">
        <v>577851552.7357166</v>
      </c>
      <c r="I289" s="9">
        <v>0</v>
      </c>
      <c r="J289" s="9">
        <v>859085618.3061914</v>
      </c>
      <c r="K289" s="9">
        <v>0</v>
      </c>
      <c r="L289" s="0" t="inlineStr">
        <is>
          <t xml:space="preserve">ZERO_RESIDUAL_NO_SALE</t>
        </is>
      </c>
      <c r="M289" s="0" t="inlineStr">
        <is>
          <t xml:space="preserve">DISTRIBUTION</t>
        </is>
      </c>
    </row>
    <row r="290">
      <c r="A290" s="0" t="inlineStr">
        <is>
          <t xml:space="preserve">VG-020</t>
        </is>
      </c>
      <c r="B290" s="23">
        <v>4</v>
      </c>
      <c r="C290" s="9">
        <v>2510082611.913037</v>
      </c>
      <c r="D290" s="9">
        <v>1930832778.3946433</v>
      </c>
      <c r="E290" s="9">
        <v>859085618.3061914</v>
      </c>
      <c r="F290" s="9">
        <v>0</v>
      </c>
      <c r="G290" s="9">
        <v>0</v>
      </c>
      <c r="H290" s="9">
        <v>579249833.5183935</v>
      </c>
      <c r="I290" s="9">
        <v>0</v>
      </c>
      <c r="J290" s="9">
        <v>859085618.3061914</v>
      </c>
      <c r="K290" s="9">
        <v>0</v>
      </c>
      <c r="L290" s="0" t="inlineStr">
        <is>
          <t xml:space="preserve">ZERO_RESIDUAL_NO_SALE</t>
        </is>
      </c>
      <c r="M290" s="0" t="inlineStr">
        <is>
          <t xml:space="preserve">DISTRIBUTION</t>
        </is>
      </c>
    </row>
    <row r="291">
      <c r="A291" s="0" t="inlineStr">
        <is>
          <t xml:space="preserve">VG-020</t>
        </is>
      </c>
      <c r="B291" s="23">
        <v>5</v>
      </c>
      <c r="C291" s="9">
        <v>2409753268.5643015</v>
      </c>
      <c r="D291" s="9">
        <v>1853656360.434078</v>
      </c>
      <c r="E291" s="9">
        <v>859085618.3061914</v>
      </c>
      <c r="F291" s="9">
        <v>0</v>
      </c>
      <c r="G291" s="9">
        <v>0</v>
      </c>
      <c r="H291" s="9">
        <v>556096908.1302235</v>
      </c>
      <c r="I291" s="9">
        <v>0</v>
      </c>
      <c r="J291" s="9">
        <v>859085618.3061914</v>
      </c>
      <c r="K291" s="9">
        <v>0</v>
      </c>
      <c r="L291" s="0" t="inlineStr">
        <is>
          <t xml:space="preserve">ZERO_RESIDUAL_NO_SALE</t>
        </is>
      </c>
      <c r="M291" s="0" t="inlineStr">
        <is>
          <t xml:space="preserve">DISTRIBUTION</t>
        </is>
      </c>
    </row>
    <row r="292">
      <c r="A292" s="0" t="inlineStr">
        <is>
          <t xml:space="preserve">VG-020</t>
        </is>
      </c>
      <c r="B292" s="23">
        <v>6</v>
      </c>
      <c r="C292" s="9">
        <v>2521992775.4133477</v>
      </c>
      <c r="D292" s="9">
        <v>1939994442.625652</v>
      </c>
      <c r="E292" s="9">
        <v>859085618.3061914</v>
      </c>
      <c r="F292" s="9">
        <v>0</v>
      </c>
      <c r="G292" s="9">
        <v>0</v>
      </c>
      <c r="H292" s="9">
        <v>581998332.7876956</v>
      </c>
      <c r="I292" s="9">
        <v>0</v>
      </c>
      <c r="J292" s="9">
        <v>859085618.3061914</v>
      </c>
      <c r="K292" s="9">
        <v>0</v>
      </c>
      <c r="L292" s="0" t="inlineStr">
        <is>
          <t xml:space="preserve">ZERO_RESIDUAL_NO_SALE</t>
        </is>
      </c>
      <c r="M292" s="0" t="inlineStr">
        <is>
          <t xml:space="preserve">DISTRIBUTION</t>
        </is>
      </c>
    </row>
    <row r="293">
      <c r="A293" s="0" t="inlineStr">
        <is>
          <t xml:space="preserve">VG-020</t>
        </is>
      </c>
      <c r="B293" s="23">
        <v>7</v>
      </c>
      <c r="C293" s="9">
        <v>2527839045.8026237</v>
      </c>
      <c r="D293" s="9">
        <v>1944491573.694326</v>
      </c>
      <c r="E293" s="9">
        <v>859085618.3061914</v>
      </c>
      <c r="F293" s="9">
        <v>0</v>
      </c>
      <c r="G293" s="9">
        <v>0</v>
      </c>
      <c r="H293" s="9">
        <v>583347472.1082978</v>
      </c>
      <c r="I293" s="9">
        <v>0</v>
      </c>
      <c r="J293" s="9">
        <v>859085618.3061914</v>
      </c>
      <c r="K293" s="9">
        <v>0</v>
      </c>
      <c r="L293" s="0" t="inlineStr">
        <is>
          <t xml:space="preserve">ZERO_RESIDUAL_NO_SALE</t>
        </is>
      </c>
      <c r="M293" s="0" t="inlineStr">
        <is>
          <t xml:space="preserve">DISTRIBUTION</t>
        </is>
      </c>
    </row>
    <row r="294">
      <c r="A294" s="0" t="inlineStr">
        <is>
          <t xml:space="preserve">VG-020</t>
        </is>
      </c>
      <c r="B294" s="23">
        <v>8</v>
      </c>
      <c r="C294" s="9">
        <v>2533609571.8089705</v>
      </c>
      <c r="D294" s="9">
        <v>1948930439.853054</v>
      </c>
      <c r="E294" s="9">
        <v>859085618.3061914</v>
      </c>
      <c r="F294" s="9">
        <v>0</v>
      </c>
      <c r="G294" s="9">
        <v>0</v>
      </c>
      <c r="H294" s="9">
        <v>584679131.9559164</v>
      </c>
      <c r="I294" s="9">
        <v>0</v>
      </c>
      <c r="J294" s="9">
        <v>859085618.3061914</v>
      </c>
      <c r="K294" s="9">
        <v>0</v>
      </c>
      <c r="L294" s="0" t="inlineStr">
        <is>
          <t xml:space="preserve">ZERO_RESIDUAL_NO_SALE</t>
        </is>
      </c>
      <c r="M294" s="0" t="inlineStr">
        <is>
          <t xml:space="preserve">DISTRIBUTION</t>
        </is>
      </c>
    </row>
    <row r="295">
      <c r="A295" s="0" t="inlineStr">
        <is>
          <t xml:space="preserve">VG-020</t>
        </is>
      </c>
      <c r="B295" s="23">
        <v>9</v>
      </c>
      <c r="C295" s="9">
        <v>2539301884.8292665</v>
      </c>
      <c r="D295" s="9">
        <v>1953309142.1763587</v>
      </c>
      <c r="E295" s="9">
        <v>859085618.3061914</v>
      </c>
      <c r="F295" s="9">
        <v>0</v>
      </c>
      <c r="G295" s="9">
        <v>0</v>
      </c>
      <c r="H295" s="9">
        <v>585992742.6529078</v>
      </c>
      <c r="I295" s="9">
        <v>0</v>
      </c>
      <c r="J295" s="9">
        <v>859085618.3061914</v>
      </c>
      <c r="K295" s="9">
        <v>0</v>
      </c>
      <c r="L295" s="0" t="inlineStr">
        <is>
          <t xml:space="preserve">ZERO_RESIDUAL_NO_SALE</t>
        </is>
      </c>
      <c r="M295" s="0" t="inlineStr">
        <is>
          <t xml:space="preserve">DISTRIBUTION</t>
        </is>
      </c>
    </row>
    <row r="296">
      <c r="A296" s="0" t="inlineStr">
        <is>
          <t xml:space="preserve">VG-020</t>
        </is>
      </c>
      <c r="B296" s="23">
        <v>10</v>
      </c>
      <c r="C296" s="9">
        <v>2438593554.49698</v>
      </c>
      <c r="D296" s="9">
        <v>835860296.1089079</v>
      </c>
      <c r="E296" s="9">
        <v>859085618.3061914</v>
      </c>
      <c r="F296" s="9">
        <v>0</v>
      </c>
      <c r="G296" s="9">
        <v>0</v>
      </c>
      <c r="H296" s="9">
        <v>1602733258.3880723</v>
      </c>
      <c r="I296" s="9">
        <v>0</v>
      </c>
      <c r="J296" s="9">
        <v>859085618.3061914</v>
      </c>
      <c r="K296" s="9">
        <v>0</v>
      </c>
      <c r="L296" s="0" t="inlineStr">
        <is>
          <t xml:space="preserve">ZERO_RESIDUAL_NO_SALE</t>
        </is>
      </c>
      <c r="M296" s="0" t="inlineStr">
        <is>
          <t xml:space="preserve">DISTRIBUTION</t>
        </is>
      </c>
    </row>
    <row r="297">
      <c r="A297" s="0" t="inlineStr">
        <is>
          <t xml:space="preserve">VG-020</t>
        </is>
      </c>
      <c r="B297" s="23">
        <v>11</v>
      </c>
      <c r="C297" s="9">
        <v>2550441725.9292173</v>
      </c>
      <c r="D297" s="9">
        <v>0</v>
      </c>
      <c r="E297" s="9">
        <v>859085618.3061914</v>
      </c>
      <c r="F297" s="9">
        <v>0</v>
      </c>
      <c r="G297" s="9">
        <v>0</v>
      </c>
      <c r="H297" s="9">
        <v>2550441725.9292173</v>
      </c>
      <c r="I297" s="9">
        <v>0</v>
      </c>
      <c r="J297" s="9">
        <v>859085618.3061914</v>
      </c>
      <c r="K297" s="9">
        <v>0</v>
      </c>
      <c r="L297" s="0" t="inlineStr">
        <is>
          <t xml:space="preserve">ZERO_RESIDUAL_NO_SALE</t>
        </is>
      </c>
      <c r="M297" s="0" t="inlineStr">
        <is>
          <t xml:space="preserve">DISTRIBUTION</t>
        </is>
      </c>
    </row>
    <row r="298">
      <c r="A298" s="0" t="inlineStr">
        <is>
          <t xml:space="preserve">VG-020</t>
        </is>
      </c>
      <c r="B298" s="23">
        <v>12</v>
      </c>
      <c r="C298" s="9">
        <v>2555884041.8947268</v>
      </c>
      <c r="D298" s="9">
        <v>0</v>
      </c>
      <c r="E298" s="9">
        <v>859085618.3061914</v>
      </c>
      <c r="F298" s="9">
        <v>0</v>
      </c>
      <c r="G298" s="9">
        <v>0</v>
      </c>
      <c r="H298" s="9">
        <v>2555884041.8947268</v>
      </c>
      <c r="I298" s="9">
        <v>0</v>
      </c>
      <c r="J298" s="9">
        <v>859085618.3061914</v>
      </c>
      <c r="K298" s="9">
        <v>0</v>
      </c>
      <c r="L298" s="0" t="inlineStr">
        <is>
          <t xml:space="preserve">ZERO_RESIDUAL_NO_SALE</t>
        </is>
      </c>
      <c r="M298" s="0" t="inlineStr">
        <is>
          <t xml:space="preserve">DISTRIBUTION</t>
        </is>
      </c>
    </row>
    <row r="299">
      <c r="A299" s="0" t="inlineStr">
        <is>
          <t xml:space="preserve">VG-020</t>
        </is>
      </c>
      <c r="B299" s="23">
        <v>13</v>
      </c>
      <c r="C299" s="9">
        <v>2561237718.368334</v>
      </c>
      <c r="D299" s="9">
        <v>0</v>
      </c>
      <c r="E299" s="9">
        <v>859085618.3061914</v>
      </c>
      <c r="F299" s="9">
        <v>0</v>
      </c>
      <c r="G299" s="9">
        <v>0</v>
      </c>
      <c r="H299" s="9">
        <v>2561237718.368334</v>
      </c>
      <c r="I299" s="9">
        <v>0</v>
      </c>
      <c r="J299" s="9">
        <v>859085618.3061914</v>
      </c>
      <c r="K299" s="9">
        <v>0</v>
      </c>
      <c r="L299" s="0" t="inlineStr">
        <is>
          <t xml:space="preserve">ZERO_RESIDUAL_NO_SALE</t>
        </is>
      </c>
      <c r="M299" s="0" t="inlineStr">
        <is>
          <t xml:space="preserve">DISTRIBUTION</t>
        </is>
      </c>
    </row>
    <row r="300">
      <c r="A300" s="0" t="inlineStr">
        <is>
          <t xml:space="preserve">VG-020</t>
        </is>
      </c>
      <c r="B300" s="23">
        <v>14</v>
      </c>
      <c r="C300" s="9">
        <v>2566500005.0054345</v>
      </c>
      <c r="D300" s="9">
        <v>0</v>
      </c>
      <c r="E300" s="9">
        <v>859085618.3061914</v>
      </c>
      <c r="F300" s="9">
        <v>0</v>
      </c>
      <c r="G300" s="9">
        <v>0</v>
      </c>
      <c r="H300" s="9">
        <v>2566500005.0054345</v>
      </c>
      <c r="I300" s="9">
        <v>0</v>
      </c>
      <c r="J300" s="9">
        <v>859085618.3061914</v>
      </c>
      <c r="K300" s="9">
        <v>0</v>
      </c>
      <c r="L300" s="0" t="inlineStr">
        <is>
          <t xml:space="preserve">ZERO_RESIDUAL_NO_SALE</t>
        </is>
      </c>
      <c r="M300" s="0" t="inlineStr">
        <is>
          <t xml:space="preserve">DISTRIBUTION</t>
        </is>
      </c>
    </row>
    <row r="301">
      <c r="A301" s="0" t="inlineStr">
        <is>
          <t xml:space="preserve">VG-020</t>
        </is>
      </c>
      <c r="B301" s="23">
        <v>15</v>
      </c>
      <c r="C301" s="9">
        <v>2849594780.8911934</v>
      </c>
      <c r="D301" s="9">
        <v>0</v>
      </c>
      <c r="E301" s="9">
        <v>859085618.3061914</v>
      </c>
      <c r="F301" s="9">
        <v>0</v>
      </c>
      <c r="G301" s="9">
        <v>0</v>
      </c>
      <c r="H301" s="9">
        <v>2849594780.8911934</v>
      </c>
      <c r="I301" s="9">
        <v>859085618.3061914</v>
      </c>
      <c r="J301" s="9">
        <v>0</v>
      </c>
      <c r="K301" s="9">
        <v>0</v>
      </c>
      <c r="L301" s="0" t="inlineStr">
        <is>
          <t xml:space="preserve">ZERO_RESIDUAL_NO_SALE</t>
        </is>
      </c>
      <c r="M301" s="0" t="inlineStr">
        <is>
          <t xml:space="preserve">RELEASE</t>
        </is>
      </c>
    </row>
  </sheetData>
  <autoFilter ref="A1:M301"/>
  <pageMargins left="0.35" right="0.35" top="0.5" bottom="0.5" header="0.2" footer="0.2"/>
</worksheet>
</file>

<file path=xl/worksheets/sheet15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6.20" customWidth="1"/>
    <col min="3" max="3" width="10.00" customWidth="1"/>
    <col min="4" max="4" width="16.20" customWidth="1"/>
    <col min="5" max="5" width="16.20" customWidth="1"/>
    <col min="6" max="6" width="18.00" customWidth="1"/>
    <col min="7" max="7" width="24.00" customWidth="1"/>
    <col min="8" max="8" width="16.20" customWidth="1"/>
    <col min="9" max="9" width="16.20" customWidth="1"/>
    <col min="10" max="10" width="13.5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minimum_dscr</t>
        </is>
      </c>
      <c r="C1" s="4" t="inlineStr">
        <is>
          <t xml:space="preserve">llcr</t>
        </is>
      </c>
      <c r="D1" s="4" t="inlineStr">
        <is>
          <t xml:space="preserve">plcr</t>
        </is>
      </c>
      <c r="E1" s="4" t="inlineStr">
        <is>
          <t xml:space="preserve">dsra_target_vnd</t>
        </is>
      </c>
      <c r="F1" s="4" t="inlineStr">
        <is>
          <t xml:space="preserve">lockup_headroom</t>
        </is>
      </c>
      <c r="G1" s="4" t="inlineStr">
        <is>
          <t xml:space="preserve">four_dscr_concepts</t>
        </is>
      </c>
      <c r="H1" s="4" t="inlineStr">
        <is>
          <t xml:space="preserve">llcr_discount_rate</t>
        </is>
      </c>
      <c r="I1" s="4" t="inlineStr">
        <is>
          <t xml:space="preserve">plcr_discount_rate</t>
        </is>
      </c>
      <c r="J1" s="4" t="inlineStr">
        <is>
          <t xml:space="preserve">coverage_status</t>
        </is>
      </c>
    </row>
    <row r="2">
      <c r="A2" s="0" t="inlineStr">
        <is>
          <t xml:space="preserve">VG-001</t>
        </is>
      </c>
      <c r="B2" s="13">
        <v>1.3</v>
      </c>
      <c r="C2" s="13">
        <v>1.35</v>
      </c>
      <c r="D2" s="13">
        <v>1.729472379385245</v>
      </c>
      <c r="E2" s="9">
        <v>1045446602.2234993</v>
      </c>
      <c r="F2" s="13">
        <f>B2-INDEX('11_Debt_Terms'!$K$2:$K$21,MATCH(A2,'11_Debt_Terms'!$B$2:$B$21,0))</f>
        <v>0.050000000000000044</v>
      </c>
      <c r="G2" s="13" t="inlineStr">
        <is>
          <t xml:space="preserve">sizing|sculpting|covenant|lockup</t>
        </is>
      </c>
      <c r="H2" s="13">
        <v>0.085</v>
      </c>
      <c r="I2" s="13">
        <v>0.085</v>
      </c>
      <c r="J2" s="15" t="str">
        <f>IF(AND(B2&gt;=INDEX('11_Debt_Terms'!$J$2:$J$21,MATCH(A2,'11_Debt_Terms'!$B$2:$B$21,0)),C2&gt;=INDEX('11_Debt_Terms'!$L$2:$L$21,MATCH(A2,'11_Debt_Terms'!$B$2:$B$21,0)),D2&gt;=1.25),"PASS","REVIEW")</f>
        <v>PASS</v>
      </c>
    </row>
    <row r="3">
      <c r="A3" s="0" t="inlineStr">
        <is>
          <t xml:space="preserve">VG-002</t>
        </is>
      </c>
      <c r="B3" s="13">
        <v>1.3</v>
      </c>
      <c r="C3" s="13">
        <v>1.35</v>
      </c>
      <c r="D3" s="13">
        <v>1.7296915875519554</v>
      </c>
      <c r="E3" s="9">
        <v>1165618087.4493086</v>
      </c>
      <c r="F3" s="13">
        <f>B3-INDEX('11_Debt_Terms'!$K$2:$K$21,MATCH(A3,'11_Debt_Terms'!$B$2:$B$21,0))</f>
        <v>0.050000000000000044</v>
      </c>
      <c r="G3" s="13" t="inlineStr">
        <is>
          <t xml:space="preserve">sizing|sculpting|covenant|lockup</t>
        </is>
      </c>
      <c r="H3" s="13">
        <v>0.085</v>
      </c>
      <c r="I3" s="13">
        <v>0.085</v>
      </c>
      <c r="J3" s="15" t="str">
        <f>IF(AND(B3&gt;=INDEX('11_Debt_Terms'!$J$2:$J$21,MATCH(A3,'11_Debt_Terms'!$B$2:$B$21,0)),C3&gt;=INDEX('11_Debt_Terms'!$L$2:$L$21,MATCH(A3,'11_Debt_Terms'!$B$2:$B$21,0)),D3&gt;=1.25),"PASS","REVIEW")</f>
        <v>PASS</v>
      </c>
    </row>
    <row r="4">
      <c r="A4" s="0" t="inlineStr">
        <is>
          <t xml:space="preserve">VG-003</t>
        </is>
      </c>
      <c r="B4" s="13">
        <v>1.2999999999999998</v>
      </c>
      <c r="C4" s="13">
        <v>1.35</v>
      </c>
      <c r="D4" s="13">
        <v>1.7295685061021782</v>
      </c>
      <c r="E4" s="9">
        <v>835721301.9517621</v>
      </c>
      <c r="F4" s="13">
        <f>B4-INDEX('11_Debt_Terms'!$K$2:$K$21,MATCH(A4,'11_Debt_Terms'!$B$2:$B$21,0))</f>
        <v>0.04999999999999982</v>
      </c>
      <c r="G4" s="13" t="inlineStr">
        <is>
          <t xml:space="preserve">sizing|sculpting|covenant|lockup</t>
        </is>
      </c>
      <c r="H4" s="13">
        <v>0.085</v>
      </c>
      <c r="I4" s="13">
        <v>0.085</v>
      </c>
      <c r="J4" s="15" t="str">
        <f>IF(AND(B4&gt;=INDEX('11_Debt_Terms'!$J$2:$J$21,MATCH(A4,'11_Debt_Terms'!$B$2:$B$21,0)),C4&gt;=INDEX('11_Debt_Terms'!$L$2:$L$21,MATCH(A4,'11_Debt_Terms'!$B$2:$B$21,0)),D4&gt;=1.25),"PASS","REVIEW")</f>
        <v>PASS</v>
      </c>
    </row>
    <row r="5">
      <c r="A5" s="0" t="inlineStr">
        <is>
          <t xml:space="preserve">VG-004</t>
        </is>
      </c>
      <c r="B5" s="13">
        <v>1.2999999999999998</v>
      </c>
      <c r="C5" s="13">
        <v>1.35</v>
      </c>
      <c r="D5" s="13">
        <v>1.7297625067457245</v>
      </c>
      <c r="E5" s="9">
        <v>1141781770.336931</v>
      </c>
      <c r="F5" s="13">
        <f>B5-INDEX('11_Debt_Terms'!$K$2:$K$21,MATCH(A5,'11_Debt_Terms'!$B$2:$B$21,0))</f>
        <v>0.04999999999999982</v>
      </c>
      <c r="G5" s="13" t="inlineStr">
        <is>
          <t xml:space="preserve">sizing|sculpting|covenant|lockup</t>
        </is>
      </c>
      <c r="H5" s="13">
        <v>0.085</v>
      </c>
      <c r="I5" s="13">
        <v>0.085</v>
      </c>
      <c r="J5" s="15" t="str">
        <f>IF(AND(B5&gt;=INDEX('11_Debt_Terms'!$J$2:$J$21,MATCH(A5,'11_Debt_Terms'!$B$2:$B$21,0)),C5&gt;=INDEX('11_Debt_Terms'!$L$2:$L$21,MATCH(A5,'11_Debt_Terms'!$B$2:$B$21,0)),D5&gt;=1.25),"PASS","REVIEW")</f>
        <v>PASS</v>
      </c>
    </row>
    <row r="6">
      <c r="A6" s="0" t="inlineStr">
        <is>
          <t xml:space="preserve">VG-005</t>
        </is>
      </c>
      <c r="B6" s="13">
        <v>1.2999999999999998</v>
      </c>
      <c r="C6" s="13">
        <v>1.35</v>
      </c>
      <c r="D6" s="13">
        <v>1.7304358185973339</v>
      </c>
      <c r="E6" s="9">
        <v>1082180674.3851585</v>
      </c>
      <c r="F6" s="13">
        <f>B6-INDEX('11_Debt_Terms'!$K$2:$K$21,MATCH(A6,'11_Debt_Terms'!$B$2:$B$21,0))</f>
        <v>0.04999999999999982</v>
      </c>
      <c r="G6" s="13" t="inlineStr">
        <is>
          <t xml:space="preserve">sizing|sculpting|covenant|lockup</t>
        </is>
      </c>
      <c r="H6" s="13">
        <v>0.085</v>
      </c>
      <c r="I6" s="13">
        <v>0.085</v>
      </c>
      <c r="J6" s="15" t="str">
        <f>IF(AND(B6&gt;=INDEX('11_Debt_Terms'!$J$2:$J$21,MATCH(A6,'11_Debt_Terms'!$B$2:$B$21,0)),C6&gt;=INDEX('11_Debt_Terms'!$L$2:$L$21,MATCH(A6,'11_Debt_Terms'!$B$2:$B$21,0)),D6&gt;=1.25),"PASS","REVIEW")</f>
        <v>PASS</v>
      </c>
    </row>
    <row r="7">
      <c r="A7" s="0" t="inlineStr">
        <is>
          <t xml:space="preserve">VG-006</t>
        </is>
      </c>
      <c r="B7" s="13">
        <v>1.2999999999999998</v>
      </c>
      <c r="C7" s="13">
        <v>1.35</v>
      </c>
      <c r="D7" s="13">
        <v>1.7301158124682705</v>
      </c>
      <c r="E7" s="9">
        <v>1012222069.3693522</v>
      </c>
      <c r="F7" s="13">
        <f>B7-INDEX('11_Debt_Terms'!$K$2:$K$21,MATCH(A7,'11_Debt_Terms'!$B$2:$B$21,0))</f>
        <v>0.04999999999999982</v>
      </c>
      <c r="G7" s="13" t="inlineStr">
        <is>
          <t xml:space="preserve">sizing|sculpting|covenant|lockup</t>
        </is>
      </c>
      <c r="H7" s="13">
        <v>0.085</v>
      </c>
      <c r="I7" s="13">
        <v>0.085</v>
      </c>
      <c r="J7" s="15" t="str">
        <f>IF(AND(B7&gt;=INDEX('11_Debt_Terms'!$J$2:$J$21,MATCH(A7,'11_Debt_Terms'!$B$2:$B$21,0)),C7&gt;=INDEX('11_Debt_Terms'!$L$2:$L$21,MATCH(A7,'11_Debt_Terms'!$B$2:$B$21,0)),D7&gt;=1.25),"PASS","REVIEW")</f>
        <v>PASS</v>
      </c>
    </row>
    <row r="8">
      <c r="A8" s="0" t="inlineStr">
        <is>
          <t xml:space="preserve">VG-007</t>
        </is>
      </c>
      <c r="B8" s="13">
        <v>1.2999999999999998</v>
      </c>
      <c r="C8" s="13">
        <v>1.35</v>
      </c>
      <c r="D8" s="13">
        <v>1.7302273585492483</v>
      </c>
      <c r="E8" s="9">
        <v>1121836738.0725057</v>
      </c>
      <c r="F8" s="13">
        <f>B8-INDEX('11_Debt_Terms'!$K$2:$K$21,MATCH(A8,'11_Debt_Terms'!$B$2:$B$21,0))</f>
        <v>0.04999999999999982</v>
      </c>
      <c r="G8" s="13" t="inlineStr">
        <is>
          <t xml:space="preserve">sizing|sculpting|covenant|lockup</t>
        </is>
      </c>
      <c r="H8" s="13">
        <v>0.085</v>
      </c>
      <c r="I8" s="13">
        <v>0.085</v>
      </c>
      <c r="J8" s="15" t="str">
        <f>IF(AND(B8&gt;=INDEX('11_Debt_Terms'!$J$2:$J$21,MATCH(A8,'11_Debt_Terms'!$B$2:$B$21,0)),C8&gt;=INDEX('11_Debt_Terms'!$L$2:$L$21,MATCH(A8,'11_Debt_Terms'!$B$2:$B$21,0)),D8&gt;=1.25),"PASS","REVIEW")</f>
        <v>PASS</v>
      </c>
    </row>
    <row r="9">
      <c r="A9" s="0" t="inlineStr">
        <is>
          <t xml:space="preserve">VG-008</t>
        </is>
      </c>
      <c r="B9" s="13">
        <v>1.3</v>
      </c>
      <c r="C9" s="13">
        <v>1.35</v>
      </c>
      <c r="D9" s="13">
        <v>1.7302005342927915</v>
      </c>
      <c r="E9" s="9">
        <v>1115654255.8807251</v>
      </c>
      <c r="F9" s="13">
        <f>B9-INDEX('11_Debt_Terms'!$K$2:$K$21,MATCH(A9,'11_Debt_Terms'!$B$2:$B$21,0))</f>
        <v>0.050000000000000044</v>
      </c>
      <c r="G9" s="13" t="inlineStr">
        <is>
          <t xml:space="preserve">sizing|sculpting|covenant|lockup</t>
        </is>
      </c>
      <c r="H9" s="13">
        <v>0.085</v>
      </c>
      <c r="I9" s="13">
        <v>0.085</v>
      </c>
      <c r="J9" s="15" t="str">
        <f>IF(AND(B9&gt;=INDEX('11_Debt_Terms'!$J$2:$J$21,MATCH(A9,'11_Debt_Terms'!$B$2:$B$21,0)),C9&gt;=INDEX('11_Debt_Terms'!$L$2:$L$21,MATCH(A9,'11_Debt_Terms'!$B$2:$B$21,0)),D9&gt;=1.25),"PASS","REVIEW")</f>
        <v>PASS</v>
      </c>
    </row>
    <row r="10">
      <c r="A10" s="0" t="inlineStr">
        <is>
          <t xml:space="preserve">VG-009</t>
        </is>
      </c>
      <c r="B10" s="13">
        <v>1.3</v>
      </c>
      <c r="C10" s="13">
        <v>1.35</v>
      </c>
      <c r="D10" s="13">
        <v>1.7303138654715533</v>
      </c>
      <c r="E10" s="9">
        <v>1142257664.099903</v>
      </c>
      <c r="F10" s="13">
        <f>B10-INDEX('11_Debt_Terms'!$K$2:$K$21,MATCH(A10,'11_Debt_Terms'!$B$2:$B$21,0))</f>
        <v>0.050000000000000044</v>
      </c>
      <c r="G10" s="13" t="inlineStr">
        <is>
          <t xml:space="preserve">sizing|sculpting|covenant|lockup</t>
        </is>
      </c>
      <c r="H10" s="13">
        <v>0.085</v>
      </c>
      <c r="I10" s="13">
        <v>0.085</v>
      </c>
      <c r="J10" s="15" t="str">
        <f>IF(AND(B10&gt;=INDEX('11_Debt_Terms'!$J$2:$J$21,MATCH(A10,'11_Debt_Terms'!$B$2:$B$21,0)),C10&gt;=INDEX('11_Debt_Terms'!$L$2:$L$21,MATCH(A10,'11_Debt_Terms'!$B$2:$B$21,0)),D10&gt;=1.25),"PASS","REVIEW")</f>
        <v>PASS</v>
      </c>
    </row>
    <row r="11">
      <c r="A11" s="0" t="inlineStr">
        <is>
          <t xml:space="preserve">VG-010</t>
        </is>
      </c>
      <c r="B11" s="13">
        <v>1.3</v>
      </c>
      <c r="C11" s="13">
        <v>1.35</v>
      </c>
      <c r="D11" s="13">
        <v>1.730131190325495</v>
      </c>
      <c r="E11" s="9">
        <v>1099987804.3738759</v>
      </c>
      <c r="F11" s="13">
        <f>B11-INDEX('11_Debt_Terms'!$K$2:$K$21,MATCH(A11,'11_Debt_Terms'!$B$2:$B$21,0))</f>
        <v>0.050000000000000044</v>
      </c>
      <c r="G11" s="13" t="inlineStr">
        <is>
          <t xml:space="preserve">sizing|sculpting|covenant|lockup</t>
        </is>
      </c>
      <c r="H11" s="13">
        <v>0.085</v>
      </c>
      <c r="I11" s="13">
        <v>0.085</v>
      </c>
      <c r="J11" s="15" t="str">
        <f>IF(AND(B11&gt;=INDEX('11_Debt_Terms'!$J$2:$J$21,MATCH(A11,'11_Debt_Terms'!$B$2:$B$21,0)),C11&gt;=INDEX('11_Debt_Terms'!$L$2:$L$21,MATCH(A11,'11_Debt_Terms'!$B$2:$B$21,0)),D11&gt;=1.25),"PASS","REVIEW")</f>
        <v>PASS</v>
      </c>
    </row>
    <row r="12">
      <c r="A12" s="0" t="inlineStr">
        <is>
          <t xml:space="preserve">VG-011</t>
        </is>
      </c>
      <c r="B12" s="13">
        <v>1.3</v>
      </c>
      <c r="C12" s="13">
        <v>1.35</v>
      </c>
      <c r="D12" s="13">
        <v>1.730185007500124</v>
      </c>
      <c r="E12" s="9">
        <v>1026560432.109078</v>
      </c>
      <c r="F12" s="13">
        <f>B12-INDEX('11_Debt_Terms'!$K$2:$K$21,MATCH(A12,'11_Debt_Terms'!$B$2:$B$21,0))</f>
        <v>0.050000000000000044</v>
      </c>
      <c r="G12" s="13" t="inlineStr">
        <is>
          <t xml:space="preserve">sizing|sculpting|covenant|lockup</t>
        </is>
      </c>
      <c r="H12" s="13">
        <v>0.085</v>
      </c>
      <c r="I12" s="13">
        <v>0.085</v>
      </c>
      <c r="J12" s="15" t="str">
        <f>IF(AND(B12&gt;=INDEX('11_Debt_Terms'!$J$2:$J$21,MATCH(A12,'11_Debt_Terms'!$B$2:$B$21,0)),C12&gt;=INDEX('11_Debt_Terms'!$L$2:$L$21,MATCH(A12,'11_Debt_Terms'!$B$2:$B$21,0)),D12&gt;=1.25),"PASS","REVIEW")</f>
        <v>PASS</v>
      </c>
    </row>
    <row r="13">
      <c r="A13" s="0" t="inlineStr">
        <is>
          <t xml:space="preserve">VG-012</t>
        </is>
      </c>
      <c r="B13" s="13">
        <v>1.2999999999999998</v>
      </c>
      <c r="C13" s="13">
        <v>1.35</v>
      </c>
      <c r="D13" s="13">
        <v>1.730019860335388</v>
      </c>
      <c r="E13" s="9">
        <v>951624242.3728858</v>
      </c>
      <c r="F13" s="13">
        <f>B13-INDEX('11_Debt_Terms'!$K$2:$K$21,MATCH(A13,'11_Debt_Terms'!$B$2:$B$21,0))</f>
        <v>0.04999999999999982</v>
      </c>
      <c r="G13" s="13" t="inlineStr">
        <is>
          <t xml:space="preserve">sizing|sculpting|covenant|lockup</t>
        </is>
      </c>
      <c r="H13" s="13">
        <v>0.085</v>
      </c>
      <c r="I13" s="13">
        <v>0.085</v>
      </c>
      <c r="J13" s="15" t="str">
        <f>IF(AND(B13&gt;=INDEX('11_Debt_Terms'!$J$2:$J$21,MATCH(A13,'11_Debt_Terms'!$B$2:$B$21,0)),C13&gt;=INDEX('11_Debt_Terms'!$L$2:$L$21,MATCH(A13,'11_Debt_Terms'!$B$2:$B$21,0)),D13&gt;=1.25),"PASS","REVIEW")</f>
        <v>PASS</v>
      </c>
    </row>
    <row r="14">
      <c r="A14" s="0" t="inlineStr">
        <is>
          <t xml:space="preserve">VG-013</t>
        </is>
      </c>
      <c r="B14" s="13">
        <v>1.3</v>
      </c>
      <c r="C14" s="13">
        <v>1.35</v>
      </c>
      <c r="D14" s="13">
        <v>1.7299912268937712</v>
      </c>
      <c r="E14" s="9">
        <v>863979963.2798481</v>
      </c>
      <c r="F14" s="13">
        <f>B14-INDEX('11_Debt_Terms'!$K$2:$K$21,MATCH(A14,'11_Debt_Terms'!$B$2:$B$21,0))</f>
        <v>0.050000000000000044</v>
      </c>
      <c r="G14" s="13" t="inlineStr">
        <is>
          <t xml:space="preserve">sizing|sculpting|covenant|lockup</t>
        </is>
      </c>
      <c r="H14" s="13">
        <v>0.085</v>
      </c>
      <c r="I14" s="13">
        <v>0.085</v>
      </c>
      <c r="J14" s="15" t="str">
        <f>IF(AND(B14&gt;=INDEX('11_Debt_Terms'!$J$2:$J$21,MATCH(A14,'11_Debt_Terms'!$B$2:$B$21,0)),C14&gt;=INDEX('11_Debt_Terms'!$L$2:$L$21,MATCH(A14,'11_Debt_Terms'!$B$2:$B$21,0)),D14&gt;=1.25),"PASS","REVIEW")</f>
        <v>PASS</v>
      </c>
    </row>
    <row r="15">
      <c r="A15" s="0" t="inlineStr">
        <is>
          <t xml:space="preserve">VG-014</t>
        </is>
      </c>
      <c r="B15" s="13">
        <v>1.2999999999999998</v>
      </c>
      <c r="C15" s="13">
        <v>1.35</v>
      </c>
      <c r="D15" s="13">
        <v>1.7299329597043769</v>
      </c>
      <c r="E15" s="9">
        <v>1016894373.0149227</v>
      </c>
      <c r="F15" s="13">
        <f>B15-INDEX('11_Debt_Terms'!$K$2:$K$21,MATCH(A15,'11_Debt_Terms'!$B$2:$B$21,0))</f>
        <v>0.04999999999999982</v>
      </c>
      <c r="G15" s="13" t="inlineStr">
        <is>
          <t xml:space="preserve">sizing|sculpting|covenant|lockup</t>
        </is>
      </c>
      <c r="H15" s="13">
        <v>0.085</v>
      </c>
      <c r="I15" s="13">
        <v>0.085</v>
      </c>
      <c r="J15" s="15" t="str">
        <f>IF(AND(B15&gt;=INDEX('11_Debt_Terms'!$J$2:$J$21,MATCH(A15,'11_Debt_Terms'!$B$2:$B$21,0)),C15&gt;=INDEX('11_Debt_Terms'!$L$2:$L$21,MATCH(A15,'11_Debt_Terms'!$B$2:$B$21,0)),D15&gt;=1.25),"PASS","REVIEW")</f>
        <v>PASS</v>
      </c>
    </row>
    <row r="16">
      <c r="A16" s="0" t="inlineStr">
        <is>
          <t xml:space="preserve">VG-015</t>
        </is>
      </c>
      <c r="B16" s="13">
        <v>1.3</v>
      </c>
      <c r="C16" s="13">
        <v>1.35</v>
      </c>
      <c r="D16" s="13">
        <v>1.7299622619469508</v>
      </c>
      <c r="E16" s="9">
        <v>981812135.2070761</v>
      </c>
      <c r="F16" s="13">
        <f>B16-INDEX('11_Debt_Terms'!$K$2:$K$21,MATCH(A16,'11_Debt_Terms'!$B$2:$B$21,0))</f>
        <v>0.050000000000000044</v>
      </c>
      <c r="G16" s="13" t="inlineStr">
        <is>
          <t xml:space="preserve">sizing|sculpting|covenant|lockup</t>
        </is>
      </c>
      <c r="H16" s="13">
        <v>0.085</v>
      </c>
      <c r="I16" s="13">
        <v>0.085</v>
      </c>
      <c r="J16" s="15" t="str">
        <f>IF(AND(B16&gt;=INDEX('11_Debt_Terms'!$J$2:$J$21,MATCH(A16,'11_Debt_Terms'!$B$2:$B$21,0)),C16&gt;=INDEX('11_Debt_Terms'!$L$2:$L$21,MATCH(A16,'11_Debt_Terms'!$B$2:$B$21,0)),D16&gt;=1.25),"PASS","REVIEW")</f>
        <v>PASS</v>
      </c>
    </row>
    <row r="17">
      <c r="A17" s="0" t="inlineStr">
        <is>
          <t xml:space="preserve">VG-016</t>
        </is>
      </c>
      <c r="B17" s="13">
        <v>1.3</v>
      </c>
      <c r="C17" s="13">
        <v>1.35</v>
      </c>
      <c r="D17" s="13">
        <v>1.2694485358198315</v>
      </c>
      <c r="E17" s="9">
        <v>878659741.6153101</v>
      </c>
      <c r="F17" s="13">
        <f>B17-INDEX('11_Debt_Terms'!$K$2:$K$21,MATCH(A17,'11_Debt_Terms'!$B$2:$B$21,0))</f>
        <v>0.050000000000000044</v>
      </c>
      <c r="G17" s="13" t="inlineStr">
        <is>
          <t xml:space="preserve">sizing|sculpting|covenant|lockup</t>
        </is>
      </c>
      <c r="H17" s="13">
        <v>0.085</v>
      </c>
      <c r="I17" s="13">
        <v>0.085</v>
      </c>
      <c r="J17" s="15" t="str">
        <f>IF(AND(B17&gt;=INDEX('11_Debt_Terms'!$J$2:$J$21,MATCH(A17,'11_Debt_Terms'!$B$2:$B$21,0)),C17&gt;=INDEX('11_Debt_Terms'!$L$2:$L$21,MATCH(A17,'11_Debt_Terms'!$B$2:$B$21,0)),D17&gt;=1.25),"PASS","REVIEW")</f>
        <v>PASS</v>
      </c>
    </row>
    <row r="18">
      <c r="A18" s="0" t="inlineStr">
        <is>
          <t xml:space="preserve">VG-017</t>
        </is>
      </c>
      <c r="B18" s="13">
        <v>1.2999999999999998</v>
      </c>
      <c r="C18" s="13">
        <v>1.35</v>
      </c>
      <c r="D18" s="13">
        <v>1.7298879435695054</v>
      </c>
      <c r="E18" s="9">
        <v>967750470.9710382</v>
      </c>
      <c r="F18" s="13">
        <f>B18-INDEX('11_Debt_Terms'!$K$2:$K$21,MATCH(A18,'11_Debt_Terms'!$B$2:$B$21,0))</f>
        <v>0.04999999999999982</v>
      </c>
      <c r="G18" s="13" t="inlineStr">
        <is>
          <t xml:space="preserve">sizing|sculpting|covenant|lockup</t>
        </is>
      </c>
      <c r="H18" s="13">
        <v>0.085</v>
      </c>
      <c r="I18" s="13">
        <v>0.085</v>
      </c>
      <c r="J18" s="15" t="str">
        <f>IF(AND(B18&gt;=INDEX('11_Debt_Terms'!$J$2:$J$21,MATCH(A18,'11_Debt_Terms'!$B$2:$B$21,0)),C18&gt;=INDEX('11_Debt_Terms'!$L$2:$L$21,MATCH(A18,'11_Debt_Terms'!$B$2:$B$21,0)),D18&gt;=1.25),"PASS","REVIEW")</f>
        <v>PASS</v>
      </c>
    </row>
    <row r="19">
      <c r="A19" s="0" t="inlineStr">
        <is>
          <t xml:space="preserve">VG-018</t>
        </is>
      </c>
      <c r="B19" s="13">
        <v>1.3</v>
      </c>
      <c r="C19" s="13">
        <v>1.35</v>
      </c>
      <c r="D19" s="13">
        <v>1.7295368378603149</v>
      </c>
      <c r="E19" s="9">
        <v>868725658.8955413</v>
      </c>
      <c r="F19" s="13">
        <f>B19-INDEX('11_Debt_Terms'!$K$2:$K$21,MATCH(A19,'11_Debt_Terms'!$B$2:$B$21,0))</f>
        <v>0.050000000000000044</v>
      </c>
      <c r="G19" s="13" t="inlineStr">
        <is>
          <t xml:space="preserve">sizing|sculpting|covenant|lockup</t>
        </is>
      </c>
      <c r="H19" s="13">
        <v>0.085</v>
      </c>
      <c r="I19" s="13">
        <v>0.085</v>
      </c>
      <c r="J19" s="15" t="str">
        <f>IF(AND(B19&gt;=INDEX('11_Debt_Terms'!$J$2:$J$21,MATCH(A19,'11_Debt_Terms'!$B$2:$B$21,0)),C19&gt;=INDEX('11_Debt_Terms'!$L$2:$L$21,MATCH(A19,'11_Debt_Terms'!$B$2:$B$21,0)),D19&gt;=1.25),"PASS","REVIEW")</f>
        <v>PASS</v>
      </c>
    </row>
    <row r="20">
      <c r="A20" s="0" t="inlineStr">
        <is>
          <t xml:space="preserve">VG-019</t>
        </is>
      </c>
      <c r="B20" s="13">
        <v>1.2999999999999998</v>
      </c>
      <c r="C20" s="13">
        <v>1.35</v>
      </c>
      <c r="D20" s="13">
        <v>1.7299183686450412</v>
      </c>
      <c r="E20" s="9">
        <v>851775205.4084044</v>
      </c>
      <c r="F20" s="13">
        <f>B20-INDEX('11_Debt_Terms'!$K$2:$K$21,MATCH(A20,'11_Debt_Terms'!$B$2:$B$21,0))</f>
        <v>0.04999999999999982</v>
      </c>
      <c r="G20" s="13" t="inlineStr">
        <is>
          <t xml:space="preserve">sizing|sculpting|covenant|lockup</t>
        </is>
      </c>
      <c r="H20" s="13">
        <v>0.085</v>
      </c>
      <c r="I20" s="13">
        <v>0.085</v>
      </c>
      <c r="J20" s="15" t="str">
        <f>IF(AND(B20&gt;=INDEX('11_Debt_Terms'!$J$2:$J$21,MATCH(A20,'11_Debt_Terms'!$B$2:$B$21,0)),C20&gt;=INDEX('11_Debt_Terms'!$L$2:$L$21,MATCH(A20,'11_Debt_Terms'!$B$2:$B$21,0)),D20&gt;=1.25),"PASS","REVIEW")</f>
        <v>PASS</v>
      </c>
    </row>
    <row r="21">
      <c r="A21" s="0" t="inlineStr">
        <is>
          <t xml:space="preserve">VG-020</t>
        </is>
      </c>
      <c r="B21" s="13">
        <v>1.3</v>
      </c>
      <c r="C21" s="13">
        <v>1.35</v>
      </c>
      <c r="D21" s="13">
        <v>1.7299622619469506</v>
      </c>
      <c r="E21" s="9">
        <v>859085618.3061914</v>
      </c>
      <c r="F21" s="13">
        <f>B21-INDEX('11_Debt_Terms'!$K$2:$K$21,MATCH(A21,'11_Debt_Terms'!$B$2:$B$21,0))</f>
        <v>0.050000000000000044</v>
      </c>
      <c r="G21" s="13" t="inlineStr">
        <is>
          <t xml:space="preserve">sizing|sculpting|covenant|lockup</t>
        </is>
      </c>
      <c r="H21" s="13">
        <v>0.085</v>
      </c>
      <c r="I21" s="13">
        <v>0.085</v>
      </c>
      <c r="J21" s="15" t="str">
        <f>IF(AND(B21&gt;=INDEX('11_Debt_Terms'!$J$2:$J$21,MATCH(A21,'11_Debt_Terms'!$B$2:$B$21,0)),C21&gt;=INDEX('11_Debt_Terms'!$L$2:$L$21,MATCH(A21,'11_Debt_Terms'!$B$2:$B$21,0)),D21&gt;=1.25),"PASS","REVIEW")</f>
        <v>PASS</v>
      </c>
    </row>
  </sheetData>
  <autoFilter ref="A1:J21"/>
  <pageMargins left="0.35" right="0.35" top="0.5" bottom="0.5" header="0.2" footer="0.2"/>
</worksheet>
</file>

<file path=xl/worksheets/sheet16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7.10" customWidth="1"/>
    <col min="3" max="3" width="11.70" customWidth="1"/>
    <col min="4" max="4" width="16.20" customWidth="1"/>
    <col min="5" max="5" width="17.10" customWidth="1"/>
    <col min="6" max="6" width="22.50" customWidth="1"/>
    <col min="7" max="7" width="16.20" customWidth="1"/>
    <col min="8" max="8" width="18.90" customWidth="1"/>
    <col min="9" max="9" width="11.7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equity_required_vnd</t>
        </is>
      </c>
      <c r="C1" s="4" t="inlineStr">
        <is>
          <t xml:space="preserve">discount_rate</t>
        </is>
      </c>
      <c r="D1" s="4" t="inlineStr">
        <is>
          <t xml:space="preserve">equity_npv_vnd</t>
        </is>
      </c>
      <c r="E1" s="4" t="inlineStr">
        <is>
          <t xml:space="preserve">project_npv_vnd</t>
        </is>
      </c>
      <c r="F1" s="4" t="inlineStr">
        <is>
          <t xml:space="preserve">equity_cashflow_year1_vnd</t>
        </is>
      </c>
      <c r="G1" s="4" t="inlineStr">
        <is>
          <t xml:space="preserve">terminal_value_vnd</t>
        </is>
      </c>
      <c r="H1" s="4" t="inlineStr">
        <is>
          <t xml:space="preserve">terminal_branch</t>
        </is>
      </c>
      <c r="I1" s="4" t="inlineStr">
        <is>
          <t xml:space="preserve">return_status</t>
        </is>
      </c>
    </row>
    <row r="2">
      <c r="A2" s="0" t="inlineStr">
        <is>
          <t xml:space="preserve">VG-001</t>
        </is>
      </c>
      <c r="B2" s="9">
        <v>16525432161.764944</v>
      </c>
      <c r="C2" s="11">
        <v>0.14</v>
      </c>
      <c r="D2" s="9">
        <v>-9672364336.222435</v>
      </c>
      <c r="E2" s="9">
        <v>-10527650509.940983</v>
      </c>
      <c r="F2" s="9">
        <v>627267961.3340998</v>
      </c>
      <c r="G2" s="9">
        <v>0</v>
      </c>
      <c r="H2" s="0" t="inlineStr">
        <is>
          <t xml:space="preserve">ZERO_RESIDUAL_NO_SALE</t>
        </is>
      </c>
      <c r="I2" s="16" t="str">
        <f>IF(D2&gt;0,"ABOVE_HURDLE","BELOW_HURDLE")</f>
        <v>BELOW_HURDLE</v>
      </c>
    </row>
    <row r="3">
      <c r="A3" s="0" t="inlineStr">
        <is>
          <t xml:space="preserve">VG-002</t>
        </is>
      </c>
      <c r="B3" s="9">
        <v>17062282880.861872</v>
      </c>
      <c r="C3" s="11">
        <v>0.14</v>
      </c>
      <c r="D3" s="9">
        <v>-9414645294.881697</v>
      </c>
      <c r="E3" s="9">
        <v>-10369016349.372593</v>
      </c>
      <c r="F3" s="9">
        <v>699370852.4695854</v>
      </c>
      <c r="G3" s="9">
        <v>0</v>
      </c>
      <c r="H3" s="0" t="inlineStr">
        <is>
          <t xml:space="preserve">ZERO_RESIDUAL_NO_SALE</t>
        </is>
      </c>
      <c r="I3" s="16" t="str">
        <f>IF(D3&gt;0,"ABOVE_HURDLE","BELOW_HURDLE")</f>
        <v>BELOW_HURDLE</v>
      </c>
    </row>
    <row r="4">
      <c r="A4" s="0" t="inlineStr">
        <is>
          <t xml:space="preserve">VG-003</t>
        </is>
      </c>
      <c r="B4" s="9">
        <v>12782013549.471458</v>
      </c>
      <c r="C4" s="11">
        <v>0.14</v>
      </c>
      <c r="D4" s="9">
        <v>-7301582713.021869</v>
      </c>
      <c r="E4" s="9">
        <v>-7985533938.755909</v>
      </c>
      <c r="F4" s="9">
        <v>501432781.17105746</v>
      </c>
      <c r="G4" s="9">
        <v>0</v>
      </c>
      <c r="H4" s="0" t="inlineStr">
        <is>
          <t xml:space="preserve">ZERO_RESIDUAL_NO_SALE</t>
        </is>
      </c>
      <c r="I4" s="16" t="str">
        <f>IF(D4&gt;0,"ABOVE_HURDLE","BELOW_HURDLE")</f>
        <v>BELOW_HURDLE</v>
      </c>
    </row>
    <row r="5">
      <c r="A5" s="0" t="inlineStr">
        <is>
          <t xml:space="preserve">VG-004</t>
        </is>
      </c>
      <c r="B5" s="9">
        <v>16281120491.550354</v>
      </c>
      <c r="C5" s="11">
        <v>0.14</v>
      </c>
      <c r="D5" s="9">
        <v>-8787707934.211016</v>
      </c>
      <c r="E5" s="9">
        <v>-9722807402.78452</v>
      </c>
      <c r="F5" s="9">
        <v>685069062.2021585</v>
      </c>
      <c r="G5" s="9">
        <v>0</v>
      </c>
      <c r="H5" s="0" t="inlineStr">
        <is>
          <t xml:space="preserve">ZERO_RESIDUAL_NO_SALE</t>
        </is>
      </c>
      <c r="I5" s="16" t="str">
        <f>IF(D5&gt;0,"ABOVE_HURDLE","BELOW_HURDLE")</f>
        <v>BELOW_HURDLE</v>
      </c>
    </row>
    <row r="6">
      <c r="A6" s="0" t="inlineStr">
        <is>
          <t xml:space="preserve">VG-005</t>
        </is>
      </c>
      <c r="B6" s="9">
        <v>11532560753.746376</v>
      </c>
      <c r="C6" s="11">
        <v>0.14</v>
      </c>
      <c r="D6" s="9">
        <v>-4410773905.851399</v>
      </c>
      <c r="E6" s="9">
        <v>-5299269401.080376</v>
      </c>
      <c r="F6" s="9">
        <v>649308404.6310949</v>
      </c>
      <c r="G6" s="9">
        <v>0</v>
      </c>
      <c r="H6" s="0" t="inlineStr">
        <is>
          <t xml:space="preserve">ZERO_RESIDUAL_NO_SALE</t>
        </is>
      </c>
      <c r="I6" s="16" t="str">
        <f>IF(D6&gt;0,"ABOVE_HURDLE","BELOW_HURDLE")</f>
        <v>BELOW_HURDLE</v>
      </c>
    </row>
    <row r="7">
      <c r="A7" s="0" t="inlineStr">
        <is>
          <t xml:space="preserve">VG-006</t>
        </is>
      </c>
      <c r="B7" s="9">
        <v>12522103811.239794</v>
      </c>
      <c r="C7" s="11">
        <v>0.14</v>
      </c>
      <c r="D7" s="9">
        <v>-5869403794.845039</v>
      </c>
      <c r="E7" s="9">
        <v>-6699478867.625069</v>
      </c>
      <c r="F7" s="9">
        <v>607333241.6216114</v>
      </c>
      <c r="G7" s="9">
        <v>0</v>
      </c>
      <c r="H7" s="0" t="inlineStr">
        <is>
          <t xml:space="preserve">ZERO_RESIDUAL_NO_SALE</t>
        </is>
      </c>
      <c r="I7" s="16" t="str">
        <f>IF(D7&gt;0,"ABOVE_HURDLE","BELOW_HURDLE")</f>
        <v>BELOW_HURDLE</v>
      </c>
    </row>
    <row r="8">
      <c r="A8" s="0" t="inlineStr">
        <is>
          <t xml:space="preserve">VG-007</t>
        </is>
      </c>
      <c r="B8" s="9">
        <v>13208277469.19271</v>
      </c>
      <c r="C8" s="11">
        <v>0.14</v>
      </c>
      <c r="D8" s="9">
        <v>-5831793317.834425</v>
      </c>
      <c r="E8" s="9">
        <v>-6752137577.008247</v>
      </c>
      <c r="F8" s="9">
        <v>673102042.8435035</v>
      </c>
      <c r="G8" s="9">
        <v>0</v>
      </c>
      <c r="H8" s="0" t="inlineStr">
        <is>
          <t xml:space="preserve">ZERO_RESIDUAL_NO_SALE</t>
        </is>
      </c>
      <c r="I8" s="16" t="str">
        <f>IF(D8&gt;0,"ABOVE_HURDLE","BELOW_HURDLE")</f>
        <v>BELOW_HURDLE</v>
      </c>
    </row>
    <row r="9">
      <c r="A9" s="0" t="inlineStr">
        <is>
          <t xml:space="preserve">VG-008</t>
        </is>
      </c>
      <c r="B9" s="9">
        <v>13295726787.679996</v>
      </c>
      <c r="C9" s="11">
        <v>0.14</v>
      </c>
      <c r="D9" s="9">
        <v>-5960697450.657899</v>
      </c>
      <c r="E9" s="9">
        <v>-6875878896.46022</v>
      </c>
      <c r="F9" s="9">
        <v>669392553.5284352</v>
      </c>
      <c r="G9" s="9">
        <v>0</v>
      </c>
      <c r="H9" s="0" t="inlineStr">
        <is>
          <t xml:space="preserve">ZERO_RESIDUAL_NO_SALE</t>
        </is>
      </c>
      <c r="I9" s="16" t="str">
        <f>IF(D9&gt;0,"ABOVE_HURDLE","BELOW_HURDLE")</f>
        <v>BELOW_HURDLE</v>
      </c>
    </row>
    <row r="10">
      <c r="A10" s="0" t="inlineStr">
        <is>
          <t xml:space="preserve">VG-009</t>
        </is>
      </c>
      <c r="B10" s="9">
        <v>12919429720.249863</v>
      </c>
      <c r="C10" s="11">
        <v>0.14</v>
      </c>
      <c r="D10" s="9">
        <v>-5406019060.932651</v>
      </c>
      <c r="E10" s="9">
        <v>-6343416249.121414</v>
      </c>
      <c r="F10" s="9">
        <v>685354598.4599419</v>
      </c>
      <c r="G10" s="9">
        <v>0</v>
      </c>
      <c r="H10" s="0" t="inlineStr">
        <is>
          <t xml:space="preserve">ZERO_RESIDUAL_NO_SALE</t>
        </is>
      </c>
      <c r="I10" s="16" t="str">
        <f>IF(D10&gt;0,"ABOVE_HURDLE","BELOW_HURDLE")</f>
        <v>BELOW_HURDLE</v>
      </c>
    </row>
    <row r="11">
      <c r="A11" s="0" t="inlineStr">
        <is>
          <t xml:space="preserve">VG-010</t>
        </is>
      </c>
      <c r="B11" s="9">
        <v>13517323949.611073</v>
      </c>
      <c r="C11" s="11">
        <v>0.14</v>
      </c>
      <c r="D11" s="9">
        <v>-6287341391.273876</v>
      </c>
      <c r="E11" s="9">
        <v>-7189440233.226402</v>
      </c>
      <c r="F11" s="9">
        <v>659992682.6243258</v>
      </c>
      <c r="G11" s="9">
        <v>0</v>
      </c>
      <c r="H11" s="0" t="inlineStr">
        <is>
          <t xml:space="preserve">ZERO_RESIDUAL_NO_SALE</t>
        </is>
      </c>
      <c r="I11" s="16" t="str">
        <f>IF(D11&gt;0,"ABOVE_HURDLE","BELOW_HURDLE")</f>
        <v>BELOW_HURDLE</v>
      </c>
    </row>
    <row r="12">
      <c r="A12" s="0" t="inlineStr">
        <is>
          <t xml:space="preserve">VG-011</t>
        </is>
      </c>
      <c r="B12" s="9">
        <v>12319292058.46524</v>
      </c>
      <c r="C12" s="11">
        <v>0.14</v>
      </c>
      <c r="D12" s="9">
        <v>-5570450371.650394</v>
      </c>
      <c r="E12" s="9">
        <v>-6412498999.481899</v>
      </c>
      <c r="F12" s="9">
        <v>615936259.2654471</v>
      </c>
      <c r="G12" s="9">
        <v>0</v>
      </c>
      <c r="H12" s="0" t="inlineStr">
        <is>
          <t xml:space="preserve">ZERO_RESIDUAL_NO_SALE</t>
        </is>
      </c>
      <c r="I12" s="16" t="str">
        <f>IF(D12&gt;0,"ABOVE_HURDLE","BELOW_HURDLE")</f>
        <v>BELOW_HURDLE</v>
      </c>
    </row>
    <row r="13">
      <c r="A13" s="0" t="inlineStr">
        <is>
          <t xml:space="preserve">VG-012</t>
        </is>
      </c>
      <c r="B13" s="9">
        <v>12260921728.57614</v>
      </c>
      <c r="C13" s="11">
        <v>0.14</v>
      </c>
      <c r="D13" s="9">
        <v>-6008940223.48665</v>
      </c>
      <c r="E13" s="9">
        <v>-6789045228.914383</v>
      </c>
      <c r="F13" s="9">
        <v>570974545.4237316</v>
      </c>
      <c r="G13" s="9">
        <v>0</v>
      </c>
      <c r="H13" s="0" t="inlineStr">
        <is>
          <t xml:space="preserve">ZERO_RESIDUAL_NO_SALE</t>
        </is>
      </c>
      <c r="I13" s="16" t="str">
        <f>IF(D13&gt;0,"ABOVE_HURDLE","BELOW_HURDLE")</f>
        <v>BELOW_HURDLE</v>
      </c>
    </row>
    <row r="14">
      <c r="A14" s="0" t="inlineStr">
        <is>
          <t xml:space="preserve">VG-013</t>
        </is>
      </c>
      <c r="B14" s="9">
        <v>11263983633.507818</v>
      </c>
      <c r="C14" s="11">
        <v>0.14</v>
      </c>
      <c r="D14" s="9">
        <v>-5588470283.500528</v>
      </c>
      <c r="E14" s="9">
        <v>-6296652944.100294</v>
      </c>
      <c r="F14" s="9">
        <v>518387977.96790886</v>
      </c>
      <c r="G14" s="9">
        <v>0</v>
      </c>
      <c r="H14" s="0" t="inlineStr">
        <is>
          <t xml:space="preserve">ZERO_RESIDUAL_NO_SALE</t>
        </is>
      </c>
      <c r="I14" s="16" t="str">
        <f>IF(D14&gt;0,"ABOVE_HURDLE","BELOW_HURDLE")</f>
        <v>BELOW_HURDLE</v>
      </c>
    </row>
    <row r="15">
      <c r="A15" s="0" t="inlineStr">
        <is>
          <t xml:space="preserve">VG-014</t>
        </is>
      </c>
      <c r="B15" s="9">
        <v>13574335305.995947</v>
      </c>
      <c r="C15" s="11">
        <v>0.14</v>
      </c>
      <c r="D15" s="9">
        <v>-6895908911.75451</v>
      </c>
      <c r="E15" s="9">
        <v>-7729252253.0287895</v>
      </c>
      <c r="F15" s="9">
        <v>610136623.8089538</v>
      </c>
      <c r="G15" s="9">
        <v>0</v>
      </c>
      <c r="H15" s="0" t="inlineStr">
        <is>
          <t xml:space="preserve">ZERO_RESIDUAL_NO_SALE</t>
        </is>
      </c>
      <c r="I15" s="16" t="str">
        <f>IF(D15&gt;0,"ABOVE_HURDLE","BELOW_HURDLE")</f>
        <v>BELOW_HURDLE</v>
      </c>
    </row>
    <row r="16">
      <c r="A16" s="0" t="inlineStr">
        <is>
          <t xml:space="preserve">VG-015</t>
        </is>
      </c>
      <c r="B16" s="9">
        <v>12952243023.168238</v>
      </c>
      <c r="C16" s="11">
        <v>0.14</v>
      </c>
      <c r="D16" s="9">
        <v>-6503447868.213896</v>
      </c>
      <c r="E16" s="9">
        <v>-7308128478.082558</v>
      </c>
      <c r="F16" s="9">
        <v>589087281.1242456</v>
      </c>
      <c r="G16" s="9">
        <v>0</v>
      </c>
      <c r="H16" s="0" t="inlineStr">
        <is>
          <t xml:space="preserve">ZERO_RESIDUAL_NO_SALE</t>
        </is>
      </c>
      <c r="I16" s="16" t="str">
        <f>IF(D16&gt;0,"ABOVE_HURDLE","BELOW_HURDLE")</f>
        <v>BELOW_HURDLE</v>
      </c>
    </row>
    <row r="17">
      <c r="A17" s="0" t="inlineStr">
        <is>
          <t xml:space="preserve">VG-016</t>
        </is>
      </c>
      <c r="B17" s="9">
        <v>11921999947.88372</v>
      </c>
      <c r="C17" s="11">
        <v>0.14</v>
      </c>
      <c r="D17" s="9">
        <v>-9444186190.980318</v>
      </c>
      <c r="E17" s="9">
        <v>-10507321870.522345</v>
      </c>
      <c r="F17" s="9">
        <v>527195844.96918607</v>
      </c>
      <c r="G17" s="9">
        <v>0</v>
      </c>
      <c r="H17" s="0" t="inlineStr">
        <is>
          <t xml:space="preserve">ZERO_RESIDUAL_NO_SALE</t>
        </is>
      </c>
      <c r="I17" s="16" t="str">
        <f>IF(D17&gt;0,"ABOVE_HURDLE","BELOW_HURDLE")</f>
        <v>BELOW_HURDLE</v>
      </c>
    </row>
    <row r="18">
      <c r="A18" s="0" t="inlineStr">
        <is>
          <t xml:space="preserve">VG-017</t>
        </is>
      </c>
      <c r="B18" s="9">
        <v>13151140960.290213</v>
      </c>
      <c r="C18" s="11">
        <v>0.14</v>
      </c>
      <c r="D18" s="9">
        <v>-6796632155.394064</v>
      </c>
      <c r="E18" s="9">
        <v>-7589570273.187321</v>
      </c>
      <c r="F18" s="9">
        <v>580650282.582623</v>
      </c>
      <c r="G18" s="9">
        <v>0</v>
      </c>
      <c r="H18" s="0" t="inlineStr">
        <is>
          <t xml:space="preserve">ZERO_RESIDUAL_NO_SALE</t>
        </is>
      </c>
      <c r="I18" s="16" t="str">
        <f>IF(D18&gt;0,"ABOVE_HURDLE","BELOW_HURDLE")</f>
        <v>BELOW_HURDLE</v>
      </c>
    </row>
    <row r="19">
      <c r="A19" s="0" t="inlineStr">
        <is>
          <t xml:space="preserve">VG-018</t>
        </is>
      </c>
      <c r="B19" s="9">
        <v>13433496821.197134</v>
      </c>
      <c r="C19" s="11">
        <v>0.14</v>
      </c>
      <c r="D19" s="9">
        <v>-7737367363.907317</v>
      </c>
      <c r="E19" s="9">
        <v>-8448246142.395969</v>
      </c>
      <c r="F19" s="9">
        <v>521235395.33732486</v>
      </c>
      <c r="G19" s="9">
        <v>0</v>
      </c>
      <c r="H19" s="0" t="inlineStr">
        <is>
          <t xml:space="preserve">ZERO_RESIDUAL_NO_SALE</t>
        </is>
      </c>
      <c r="I19" s="16" t="str">
        <f>IF(D19&gt;0,"ABOVE_HURDLE","BELOW_HURDLE")</f>
        <v>BELOW_HURDLE</v>
      </c>
    </row>
    <row r="20">
      <c r="A20" s="0" t="inlineStr">
        <is>
          <t xml:space="preserve">VG-019</t>
        </is>
      </c>
      <c r="B20" s="9">
        <v>11436616198.39882</v>
      </c>
      <c r="C20" s="11">
        <v>0.14</v>
      </c>
      <c r="D20" s="9">
        <v>-5842938259.458537</v>
      </c>
      <c r="E20" s="9">
        <v>-6540929077.173847</v>
      </c>
      <c r="F20" s="9">
        <v>511065123.2450428</v>
      </c>
      <c r="G20" s="9">
        <v>0</v>
      </c>
      <c r="H20" s="0" t="inlineStr">
        <is>
          <t xml:space="preserve">ZERO_RESIDUAL_NO_SALE</t>
        </is>
      </c>
      <c r="I20" s="16" t="str">
        <f>IF(D20&gt;0,"ABOVE_HURDLE","BELOW_HURDLE")</f>
        <v>BELOW_HURDLE</v>
      </c>
    </row>
    <row r="21">
      <c r="A21" s="0" t="inlineStr">
        <is>
          <t xml:space="preserve">VG-020</t>
        </is>
      </c>
      <c r="B21" s="9">
        <v>11333212645.27221</v>
      </c>
      <c r="C21" s="11">
        <v>0.14</v>
      </c>
      <c r="D21" s="9">
        <v>-5690516884.68716</v>
      </c>
      <c r="E21" s="9">
        <v>-6394612418.322241</v>
      </c>
      <c r="F21" s="9">
        <v>515451370.98371506</v>
      </c>
      <c r="G21" s="9">
        <v>0</v>
      </c>
      <c r="H21" s="0" t="inlineStr">
        <is>
          <t xml:space="preserve">ZERO_RESIDUAL_NO_SALE</t>
        </is>
      </c>
      <c r="I21" s="16" t="str">
        <f>IF(D21&gt;0,"ABOVE_HURDLE","BELOW_HURDLE")</f>
        <v>BELOW_HURDLE</v>
      </c>
    </row>
  </sheetData>
  <autoFilter ref="A1:I21"/>
  <pageMargins left="0.35" right="0.35" top="0.5" bottom="0.5" header="0.2" footer="0.2"/>
</worksheet>
</file>

<file path=xl/worksheets/sheet17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0.00" customWidth="1"/>
    <col min="3" max="3" width="17.10" customWidth="1"/>
    <col min="4" max="4" width="15.30" customWidth="1"/>
    <col min="5" max="5" width="24.00" customWidth="1"/>
    <col min="6" max="6" width="20.70" customWidth="1"/>
    <col min="7" max="7" width="22.5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fx_scenario</t>
        </is>
      </c>
      <c r="C1" s="4" t="inlineStr">
        <is>
          <t xml:space="preserve">annual_depreciation</t>
        </is>
      </c>
      <c r="D1" s="4" t="inlineStr">
        <is>
          <t xml:space="preserve">usd_debt_fraction</t>
        </is>
      </c>
      <c r="E1" s="4" t="inlineStr">
        <is>
          <t xml:space="preserve">translated_debt_service_bvnd</t>
        </is>
      </c>
      <c r="F1" s="4" t="inlineStr">
        <is>
          <t xml:space="preserve">break_even_depreciation</t>
        </is>
      </c>
      <c r="G1" s="4" t="inlineStr">
        <is>
          <t xml:space="preserve">period_translation_status</t>
        </is>
      </c>
    </row>
    <row r="2">
      <c r="A2" s="0" t="inlineStr">
        <is>
          <t xml:space="preserve">VG-001</t>
        </is>
      </c>
      <c r="B2" s="0" t="inlineStr">
        <is>
          <t xml:space="preserve">CRAWL_0PCT</t>
        </is>
      </c>
      <c r="C2" s="0">
        <v>0</v>
      </c>
      <c r="D2" s="0">
        <v>0.5</v>
      </c>
      <c r="E2" s="9">
        <v>10.915721694962853</v>
      </c>
      <c r="F2" s="0">
        <v>0.2</v>
      </c>
      <c r="G2" s="15" t="inlineStr">
        <is>
          <t xml:space="preserve">PASS</t>
        </is>
      </c>
    </row>
    <row r="3">
      <c r="A3" s="0" t="inlineStr">
        <is>
          <t xml:space="preserve">VG-001</t>
        </is>
      </c>
      <c r="B3" s="0" t="inlineStr">
        <is>
          <t xml:space="preserve">CRAWL_2PCT</t>
        </is>
      </c>
      <c r="C3" s="0">
        <v>0.02</v>
      </c>
      <c r="D3" s="0">
        <v>0.5</v>
      </c>
      <c r="E3" s="9">
        <v>12.138284736270784</v>
      </c>
      <c r="F3" s="0">
        <v>0.2</v>
      </c>
      <c r="G3" s="15" t="inlineStr">
        <is>
          <t xml:space="preserve">PASS</t>
        </is>
      </c>
    </row>
    <row r="4">
      <c r="A4" s="0" t="inlineStr">
        <is>
          <t xml:space="preserve">VG-001</t>
        </is>
      </c>
      <c r="B4" s="0" t="inlineStr">
        <is>
          <t xml:space="preserve">CRAWL_4PCT</t>
        </is>
      </c>
      <c r="C4" s="0">
        <v>0.04</v>
      </c>
      <c r="D4" s="0">
        <v>0.5</v>
      </c>
      <c r="E4" s="9">
        <v>13.50771542446791</v>
      </c>
      <c r="F4" s="0">
        <v>0.2</v>
      </c>
      <c r="G4" s="15" t="inlineStr">
        <is>
          <t xml:space="preserve">PASS</t>
        </is>
      </c>
    </row>
    <row r="5">
      <c r="A5" s="0" t="inlineStr">
        <is>
          <t xml:space="preserve">VG-001</t>
        </is>
      </c>
      <c r="B5" s="0" t="inlineStr">
        <is>
          <t xml:space="preserve">CRAWL_6PCT</t>
        </is>
      </c>
      <c r="C5" s="0">
        <v>0.06</v>
      </c>
      <c r="D5" s="0">
        <v>0.5</v>
      </c>
      <c r="E5" s="9">
        <v>15.041324155301758</v>
      </c>
      <c r="F5" s="0">
        <v>0.2</v>
      </c>
      <c r="G5" s="15" t="inlineStr">
        <is>
          <t xml:space="preserve">PASS</t>
        </is>
      </c>
    </row>
    <row r="6">
      <c r="A6" s="0" t="inlineStr">
        <is>
          <t xml:space="preserve">VG-002</t>
        </is>
      </c>
      <c r="B6" s="0" t="inlineStr">
        <is>
          <t xml:space="preserve">CRAWL_0PCT</t>
        </is>
      </c>
      <c r="C6" s="0">
        <v>0</v>
      </c>
      <c r="D6" s="0">
        <v>0.5</v>
      </c>
      <c r="E6" s="9">
        <v>12.180496510280996</v>
      </c>
      <c r="F6" s="0">
        <v>0.2</v>
      </c>
      <c r="G6" s="15" t="inlineStr">
        <is>
          <t xml:space="preserve">PASS</t>
        </is>
      </c>
    </row>
    <row r="7">
      <c r="A7" s="0" t="inlineStr">
        <is>
          <t xml:space="preserve">VG-002</t>
        </is>
      </c>
      <c r="B7" s="0" t="inlineStr">
        <is>
          <t xml:space="preserve">CRAWL_2PCT</t>
        </is>
      </c>
      <c r="C7" s="0">
        <v>0.02</v>
      </c>
      <c r="D7" s="0">
        <v>0.5</v>
      </c>
      <c r="E7" s="9">
        <v>13.545188891683589</v>
      </c>
      <c r="F7" s="0">
        <v>0.2</v>
      </c>
      <c r="G7" s="15" t="inlineStr">
        <is>
          <t xml:space="preserve">PASS</t>
        </is>
      </c>
    </row>
    <row r="8">
      <c r="A8" s="0" t="inlineStr">
        <is>
          <t xml:space="preserve">VG-002</t>
        </is>
      </c>
      <c r="B8" s="0" t="inlineStr">
        <is>
          <t xml:space="preserve">CRAWL_4PCT</t>
        </is>
      </c>
      <c r="C8" s="0">
        <v>0.04</v>
      </c>
      <c r="D8" s="0">
        <v>0.5</v>
      </c>
      <c r="E8" s="9">
        <v>15.07387299969213</v>
      </c>
      <c r="F8" s="0">
        <v>0.2</v>
      </c>
      <c r="G8" s="15" t="inlineStr">
        <is>
          <t xml:space="preserve">PASS</t>
        </is>
      </c>
    </row>
    <row r="9">
      <c r="A9" s="0" t="inlineStr">
        <is>
          <t xml:space="preserve">VG-002</t>
        </is>
      </c>
      <c r="B9" s="0" t="inlineStr">
        <is>
          <t xml:space="preserve">CRAWL_6PCT</t>
        </is>
      </c>
      <c r="C9" s="0">
        <v>0.06</v>
      </c>
      <c r="D9" s="0">
        <v>0.5</v>
      </c>
      <c r="E9" s="9">
        <v>16.78588321068451</v>
      </c>
      <c r="F9" s="0">
        <v>0.2</v>
      </c>
      <c r="G9" s="15" t="inlineStr">
        <is>
          <t xml:space="preserve">PASS</t>
        </is>
      </c>
    </row>
    <row r="10">
      <c r="A10" s="0" t="inlineStr">
        <is>
          <t xml:space="preserve">VG-003</t>
        </is>
      </c>
      <c r="B10" s="0" t="inlineStr">
        <is>
          <t xml:space="preserve">CRAWL_0PCT</t>
        </is>
      </c>
      <c r="C10" s="0">
        <v>0</v>
      </c>
      <c r="D10" s="0">
        <v>0.5</v>
      </c>
      <c r="E10" s="9">
        <v>8.729092317296127</v>
      </c>
      <c r="F10" s="0">
        <v>0.2</v>
      </c>
      <c r="G10" s="15" t="inlineStr">
        <is>
          <t xml:space="preserve">PASS</t>
        </is>
      </c>
    </row>
    <row r="11">
      <c r="A11" s="0" t="inlineStr">
        <is>
          <t xml:space="preserve">VG-003</t>
        </is>
      </c>
      <c r="B11" s="0" t="inlineStr">
        <is>
          <t xml:space="preserve">CRAWL_2PCT</t>
        </is>
      </c>
      <c r="C11" s="0">
        <v>0.02</v>
      </c>
      <c r="D11" s="0">
        <v>0.5</v>
      </c>
      <c r="E11" s="9">
        <v>9.706901492446624</v>
      </c>
      <c r="F11" s="0">
        <v>0.2</v>
      </c>
      <c r="G11" s="15" t="inlineStr">
        <is>
          <t xml:space="preserve">PASS</t>
        </is>
      </c>
    </row>
    <row r="12">
      <c r="A12" s="0" t="inlineStr">
        <is>
          <t xml:space="preserve">VG-003</t>
        </is>
      </c>
      <c r="B12" s="0" t="inlineStr">
        <is>
          <t xml:space="preserve">CRAWL_4PCT</t>
        </is>
      </c>
      <c r="C12" s="0">
        <v>0.04</v>
      </c>
      <c r="D12" s="0">
        <v>0.5</v>
      </c>
      <c r="E12" s="9">
        <v>10.802191500684753</v>
      </c>
      <c r="F12" s="0">
        <v>0.2</v>
      </c>
      <c r="G12" s="15" t="inlineStr">
        <is>
          <t xml:space="preserve">PASS</t>
        </is>
      </c>
    </row>
    <row r="13">
      <c r="A13" s="0" t="inlineStr">
        <is>
          <t xml:space="preserve">VG-003</t>
        </is>
      </c>
      <c r="B13" s="0" t="inlineStr">
        <is>
          <t xml:space="preserve">CRAWL_6PCT</t>
        </is>
      </c>
      <c r="C13" s="0">
        <v>0.06</v>
      </c>
      <c r="D13" s="0">
        <v>0.5</v>
      </c>
      <c r="E13" s="9">
        <v>12.028810874717966</v>
      </c>
      <c r="F13" s="0">
        <v>0.2</v>
      </c>
      <c r="G13" s="15" t="inlineStr">
        <is>
          <t xml:space="preserve">PASS</t>
        </is>
      </c>
    </row>
    <row r="14">
      <c r="A14" s="0" t="inlineStr">
        <is>
          <t xml:space="preserve">VG-004</t>
        </is>
      </c>
      <c r="B14" s="0" t="inlineStr">
        <is>
          <t xml:space="preserve">CRAWL_0PCT</t>
        </is>
      </c>
      <c r="C14" s="0">
        <v>0</v>
      </c>
      <c r="D14" s="0">
        <v>0.5</v>
      </c>
      <c r="E14" s="9">
        <v>11.934595932186461</v>
      </c>
      <c r="F14" s="0">
        <v>0.2</v>
      </c>
      <c r="G14" s="15" t="inlineStr">
        <is>
          <t xml:space="preserve">PASS</t>
        </is>
      </c>
    </row>
    <row r="15">
      <c r="A15" s="0" t="inlineStr">
        <is>
          <t xml:space="preserve">VG-004</t>
        </is>
      </c>
      <c r="B15" s="0" t="inlineStr">
        <is>
          <t xml:space="preserve">CRAWL_2PCT</t>
        </is>
      </c>
      <c r="C15" s="0">
        <v>0.02</v>
      </c>
      <c r="D15" s="0">
        <v>0.5</v>
      </c>
      <c r="E15" s="9">
        <v>13.271888147932948</v>
      </c>
      <c r="F15" s="0">
        <v>0.2</v>
      </c>
      <c r="G15" s="15" t="inlineStr">
        <is>
          <t xml:space="preserve">PASS</t>
        </is>
      </c>
    </row>
    <row r="16">
      <c r="A16" s="0" t="inlineStr">
        <is>
          <t xml:space="preserve">VG-004</t>
        </is>
      </c>
      <c r="B16" s="0" t="inlineStr">
        <is>
          <t xml:space="preserve">CRAWL_4PCT</t>
        </is>
      </c>
      <c r="C16" s="0">
        <v>0.04</v>
      </c>
      <c r="D16" s="0">
        <v>0.5</v>
      </c>
      <c r="E16" s="9">
        <v>14.769895304768617</v>
      </c>
      <c r="F16" s="0">
        <v>0.2</v>
      </c>
      <c r="G16" s="15" t="inlineStr">
        <is>
          <t xml:space="preserve">PASS</t>
        </is>
      </c>
    </row>
    <row r="17">
      <c r="A17" s="0" t="inlineStr">
        <is>
          <t xml:space="preserve">VG-004</t>
        </is>
      </c>
      <c r="B17" s="0" t="inlineStr">
        <is>
          <t xml:space="preserve">CRAWL_6PCT</t>
        </is>
      </c>
      <c r="C17" s="0">
        <v>0.06</v>
      </c>
      <c r="D17" s="0">
        <v>0.5</v>
      </c>
      <c r="E17" s="9">
        <v>16.4475672467362</v>
      </c>
      <c r="F17" s="0">
        <v>0.2</v>
      </c>
      <c r="G17" s="15" t="inlineStr">
        <is>
          <t xml:space="preserve">PASS</t>
        </is>
      </c>
    </row>
    <row r="18">
      <c r="A18" s="0" t="inlineStr">
        <is>
          <t xml:space="preserve">VG-005</t>
        </is>
      </c>
      <c r="B18" s="0" t="inlineStr">
        <is>
          <t xml:space="preserve">CRAWL_0PCT</t>
        </is>
      </c>
      <c r="C18" s="0">
        <v>0</v>
      </c>
      <c r="D18" s="0">
        <v>0.5</v>
      </c>
      <c r="E18" s="9">
        <v>11.340332751457098</v>
      </c>
      <c r="F18" s="0">
        <v>0.2</v>
      </c>
      <c r="G18" s="15" t="inlineStr">
        <is>
          <t xml:space="preserve">PASS</t>
        </is>
      </c>
    </row>
    <row r="19">
      <c r="A19" s="0" t="inlineStr">
        <is>
          <t xml:space="preserve">VG-005</t>
        </is>
      </c>
      <c r="B19" s="0" t="inlineStr">
        <is>
          <t xml:space="preserve">CRAWL_2PCT</t>
        </is>
      </c>
      <c r="C19" s="0">
        <v>0.02</v>
      </c>
      <c r="D19" s="0">
        <v>0.5</v>
      </c>
      <c r="E19" s="9">
        <v>12.612392243225163</v>
      </c>
      <c r="F19" s="0">
        <v>0.2</v>
      </c>
      <c r="G19" s="15" t="inlineStr">
        <is>
          <t xml:space="preserve">PASS</t>
        </is>
      </c>
    </row>
    <row r="20">
      <c r="A20" s="0" t="inlineStr">
        <is>
          <t xml:space="preserve">VG-005</t>
        </is>
      </c>
      <c r="B20" s="0" t="inlineStr">
        <is>
          <t xml:space="preserve">CRAWL_4PCT</t>
        </is>
      </c>
      <c r="C20" s="0">
        <v>0.04</v>
      </c>
      <c r="D20" s="0">
        <v>0.5</v>
      </c>
      <c r="E20" s="9">
        <v>14.037469728693104</v>
      </c>
      <c r="F20" s="0">
        <v>0.2</v>
      </c>
      <c r="G20" s="15" t="inlineStr">
        <is>
          <t xml:space="preserve">PASS</t>
        </is>
      </c>
    </row>
    <row r="21">
      <c r="A21" s="0" t="inlineStr">
        <is>
          <t xml:space="preserve">VG-005</t>
        </is>
      </c>
      <c r="B21" s="0" t="inlineStr">
        <is>
          <t xml:space="preserve">CRAWL_6PCT</t>
        </is>
      </c>
      <c r="C21" s="0">
        <v>0.06</v>
      </c>
      <c r="D21" s="0">
        <v>0.5</v>
      </c>
      <c r="E21" s="9">
        <v>15.633623696328408</v>
      </c>
      <c r="F21" s="0">
        <v>0.2</v>
      </c>
      <c r="G21" s="15" t="inlineStr">
        <is>
          <t xml:space="preserve">PASS</t>
        </is>
      </c>
    </row>
    <row r="22">
      <c r="A22" s="0" t="inlineStr">
        <is>
          <t xml:space="preserve">VG-006</t>
        </is>
      </c>
      <c r="B22" s="0" t="inlineStr">
        <is>
          <t xml:space="preserve">CRAWL_0PCT</t>
        </is>
      </c>
      <c r="C22" s="0">
        <v>0</v>
      </c>
      <c r="D22" s="0">
        <v>0.5</v>
      </c>
      <c r="E22" s="9">
        <v>10.594442876514844</v>
      </c>
      <c r="F22" s="0">
        <v>0.2</v>
      </c>
      <c r="G22" s="15" t="inlineStr">
        <is>
          <t xml:space="preserve">PASS</t>
        </is>
      </c>
    </row>
    <row r="23">
      <c r="A23" s="0" t="inlineStr">
        <is>
          <t xml:space="preserve">VG-006</t>
        </is>
      </c>
      <c r="B23" s="0" t="inlineStr">
        <is>
          <t xml:space="preserve">CRAWL_2PCT</t>
        </is>
      </c>
      <c r="C23" s="0">
        <v>0.02</v>
      </c>
      <c r="D23" s="0">
        <v>0.5</v>
      </c>
      <c r="E23" s="9">
        <v>11.7822332309452</v>
      </c>
      <c r="F23" s="0">
        <v>0.2</v>
      </c>
      <c r="G23" s="15" t="inlineStr">
        <is>
          <t xml:space="preserve">PASS</t>
        </is>
      </c>
    </row>
    <row r="24">
      <c r="A24" s="0" t="inlineStr">
        <is>
          <t xml:space="preserve">VG-006</t>
        </is>
      </c>
      <c r="B24" s="0" t="inlineStr">
        <is>
          <t xml:space="preserve">CRAWL_4PCT</t>
        </is>
      </c>
      <c r="C24" s="0">
        <v>0.04</v>
      </c>
      <c r="D24" s="0">
        <v>0.5</v>
      </c>
      <c r="E24" s="9">
        <v>13.112841444430897</v>
      </c>
      <c r="F24" s="0">
        <v>0.2</v>
      </c>
      <c r="G24" s="15" t="inlineStr">
        <is>
          <t xml:space="preserve">PASS</t>
        </is>
      </c>
    </row>
    <row r="25">
      <c r="A25" s="0" t="inlineStr">
        <is>
          <t xml:space="preserve">VG-006</t>
        </is>
      </c>
      <c r="B25" s="0" t="inlineStr">
        <is>
          <t xml:space="preserve">CRAWL_6PCT</t>
        </is>
      </c>
      <c r="C25" s="0">
        <v>0.06</v>
      </c>
      <c r="D25" s="0">
        <v>0.5</v>
      </c>
      <c r="E25" s="9">
        <v>14.60311505976559</v>
      </c>
      <c r="F25" s="0">
        <v>0.2</v>
      </c>
      <c r="G25" s="15" t="inlineStr">
        <is>
          <t xml:space="preserve">PASS</t>
        </is>
      </c>
    </row>
    <row r="26">
      <c r="A26" s="0" t="inlineStr">
        <is>
          <t xml:space="preserve">VG-007</t>
        </is>
      </c>
      <c r="B26" s="0" t="inlineStr">
        <is>
          <t xml:space="preserve">CRAWL_0PCT</t>
        </is>
      </c>
      <c r="C26" s="0">
        <v>0</v>
      </c>
      <c r="D26" s="0">
        <v>0.5</v>
      </c>
      <c r="E26" s="9">
        <v>11.746662237731337</v>
      </c>
      <c r="F26" s="0">
        <v>0.2</v>
      </c>
      <c r="G26" s="15" t="inlineStr">
        <is>
          <t xml:space="preserve">PASS</t>
        </is>
      </c>
    </row>
    <row r="27">
      <c r="A27" s="0" t="inlineStr">
        <is>
          <t xml:space="preserve">VG-007</t>
        </is>
      </c>
      <c r="B27" s="0" t="inlineStr">
        <is>
          <t xml:space="preserve">CRAWL_2PCT</t>
        </is>
      </c>
      <c r="C27" s="0">
        <v>0.02</v>
      </c>
      <c r="D27" s="0">
        <v>0.5</v>
      </c>
      <c r="E27" s="9">
        <v>13.063865643513953</v>
      </c>
      <c r="F27" s="0">
        <v>0.2</v>
      </c>
      <c r="G27" s="15" t="inlineStr">
        <is>
          <t xml:space="preserve">PASS</t>
        </is>
      </c>
    </row>
    <row r="28">
      <c r="A28" s="0" t="inlineStr">
        <is>
          <t xml:space="preserve">VG-007</t>
        </is>
      </c>
      <c r="B28" s="0" t="inlineStr">
        <is>
          <t xml:space="preserve">CRAWL_4PCT</t>
        </is>
      </c>
      <c r="C28" s="0">
        <v>0.04</v>
      </c>
      <c r="D28" s="0">
        <v>0.5</v>
      </c>
      <c r="E28" s="9">
        <v>14.53947177856149</v>
      </c>
      <c r="F28" s="0">
        <v>0.2</v>
      </c>
      <c r="G28" s="15" t="inlineStr">
        <is>
          <t xml:space="preserve">PASS</t>
        </is>
      </c>
    </row>
    <row r="29">
      <c r="A29" s="0" t="inlineStr">
        <is>
          <t xml:space="preserve">VG-007</t>
        </is>
      </c>
      <c r="B29" s="0" t="inlineStr">
        <is>
          <t xml:space="preserve">CRAWL_6PCT</t>
        </is>
      </c>
      <c r="C29" s="0">
        <v>0.06</v>
      </c>
      <c r="D29" s="0">
        <v>0.5</v>
      </c>
      <c r="E29" s="9">
        <v>16.192169433504848</v>
      </c>
      <c r="F29" s="0">
        <v>0.2</v>
      </c>
      <c r="G29" s="15" t="inlineStr">
        <is>
          <t xml:space="preserve">PASS</t>
        </is>
      </c>
    </row>
    <row r="30">
      <c r="A30" s="0" t="inlineStr">
        <is>
          <t xml:space="preserve">VG-008</t>
        </is>
      </c>
      <c r="B30" s="0" t="inlineStr">
        <is>
          <t xml:space="preserve">CRAWL_0PCT</t>
        </is>
      </c>
      <c r="C30" s="0">
        <v>0</v>
      </c>
      <c r="D30" s="0">
        <v>0.5</v>
      </c>
      <c r="E30" s="9">
        <v>11.680745387791031</v>
      </c>
      <c r="F30" s="0">
        <v>0.2</v>
      </c>
      <c r="G30" s="15" t="inlineStr">
        <is>
          <t xml:space="preserve">PASS</t>
        </is>
      </c>
    </row>
    <row r="31">
      <c r="A31" s="0" t="inlineStr">
        <is>
          <t xml:space="preserve">VG-008</t>
        </is>
      </c>
      <c r="B31" s="0" t="inlineStr">
        <is>
          <t xml:space="preserve">CRAWL_2PCT</t>
        </is>
      </c>
      <c r="C31" s="0">
        <v>0.02</v>
      </c>
      <c r="D31" s="0">
        <v>0.5</v>
      </c>
      <c r="E31" s="9">
        <v>12.990501640492342</v>
      </c>
      <c r="F31" s="0">
        <v>0.2</v>
      </c>
      <c r="G31" s="15" t="inlineStr">
        <is>
          <t xml:space="preserve">PASS</t>
        </is>
      </c>
    </row>
    <row r="32">
      <c r="A32" s="0" t="inlineStr">
        <is>
          <t xml:space="preserve">VG-008</t>
        </is>
      </c>
      <c r="B32" s="0" t="inlineStr">
        <is>
          <t xml:space="preserve">CRAWL_4PCT</t>
        </is>
      </c>
      <c r="C32" s="0">
        <v>0.04</v>
      </c>
      <c r="D32" s="0">
        <v>0.5</v>
      </c>
      <c r="E32" s="9">
        <v>14.457759201528596</v>
      </c>
      <c r="F32" s="0">
        <v>0.2</v>
      </c>
      <c r="G32" s="15" t="inlineStr">
        <is>
          <t xml:space="preserve">PASS</t>
        </is>
      </c>
    </row>
    <row r="33">
      <c r="A33" s="0" t="inlineStr">
        <is>
          <t xml:space="preserve">VG-008</t>
        </is>
      </c>
      <c r="B33" s="0" t="inlineStr">
        <is>
          <t xml:space="preserve">CRAWL_6PCT</t>
        </is>
      </c>
      <c r="C33" s="0">
        <v>0.06</v>
      </c>
      <c r="D33" s="0">
        <v>0.5</v>
      </c>
      <c r="E33" s="9">
        <v>16.101099846102606</v>
      </c>
      <c r="F33" s="0">
        <v>0.2</v>
      </c>
      <c r="G33" s="15" t="inlineStr">
        <is>
          <t xml:space="preserve">PASS</t>
        </is>
      </c>
    </row>
    <row r="34">
      <c r="A34" s="0" t="inlineStr">
        <is>
          <t xml:space="preserve">VG-009</t>
        </is>
      </c>
      <c r="B34" s="0" t="inlineStr">
        <is>
          <t xml:space="preserve">CRAWL_0PCT</t>
        </is>
      </c>
      <c r="C34" s="0">
        <v>0</v>
      </c>
      <c r="D34" s="0">
        <v>0.5</v>
      </c>
      <c r="E34" s="9">
        <v>11.964387590564472</v>
      </c>
      <c r="F34" s="0">
        <v>0.2</v>
      </c>
      <c r="G34" s="15" t="inlineStr">
        <is>
          <t xml:space="preserve">PASS</t>
        </is>
      </c>
    </row>
    <row r="35">
      <c r="A35" s="0" t="inlineStr">
        <is>
          <t xml:space="preserve">VG-009</t>
        </is>
      </c>
      <c r="B35" s="0" t="inlineStr">
        <is>
          <t xml:space="preserve">CRAWL_2PCT</t>
        </is>
      </c>
      <c r="C35" s="0">
        <v>0.02</v>
      </c>
      <c r="D35" s="0">
        <v>0.5</v>
      </c>
      <c r="E35" s="9">
        <v>13.306189168645934</v>
      </c>
      <c r="F35" s="0">
        <v>0.2</v>
      </c>
      <c r="G35" s="15" t="inlineStr">
        <is>
          <t xml:space="preserve">PASS</t>
        </is>
      </c>
    </row>
    <row r="36">
      <c r="A36" s="0" t="inlineStr">
        <is>
          <t xml:space="preserve">VG-009</t>
        </is>
      </c>
      <c r="B36" s="0" t="inlineStr">
        <is>
          <t xml:space="preserve">CRAWL_4PCT</t>
        </is>
      </c>
      <c r="C36" s="0">
        <v>0.04</v>
      </c>
      <c r="D36" s="0">
        <v>0.5</v>
      </c>
      <c r="E36" s="9">
        <v>14.80937089663984</v>
      </c>
      <c r="F36" s="0">
        <v>0.2</v>
      </c>
      <c r="G36" s="15" t="inlineStr">
        <is>
          <t xml:space="preserve">PASS</t>
        </is>
      </c>
    </row>
    <row r="37">
      <c r="A37" s="0" t="inlineStr">
        <is>
          <t xml:space="preserve">VG-009</t>
        </is>
      </c>
      <c r="B37" s="0" t="inlineStr">
        <is>
          <t xml:space="preserve">CRAWL_6PCT</t>
        </is>
      </c>
      <c r="C37" s="0">
        <v>0.06</v>
      </c>
      <c r="D37" s="0">
        <v>0.5</v>
      </c>
      <c r="E37" s="9">
        <v>16.492975040378926</v>
      </c>
      <c r="F37" s="0">
        <v>0.2</v>
      </c>
      <c r="G37" s="15" t="inlineStr">
        <is>
          <t xml:space="preserve">PASS</t>
        </is>
      </c>
    </row>
    <row r="38">
      <c r="A38" s="0" t="inlineStr">
        <is>
          <t xml:space="preserve">VG-010</t>
        </is>
      </c>
      <c r="B38" s="0" t="inlineStr">
        <is>
          <t xml:space="preserve">CRAWL_0PCT</t>
        </is>
      </c>
      <c r="C38" s="0">
        <v>0</v>
      </c>
      <c r="D38" s="0">
        <v>0.5</v>
      </c>
      <c r="E38" s="9">
        <v>11.513711646157782</v>
      </c>
      <c r="F38" s="0">
        <v>0.2</v>
      </c>
      <c r="G38" s="15" t="inlineStr">
        <is>
          <t xml:space="preserve">PASS</t>
        </is>
      </c>
    </row>
    <row r="39">
      <c r="A39" s="0" t="inlineStr">
        <is>
          <t xml:space="preserve">VG-010</t>
        </is>
      </c>
      <c r="B39" s="0" t="inlineStr">
        <is>
          <t xml:space="preserve">CRAWL_2PCT</t>
        </is>
      </c>
      <c r="C39" s="0">
        <v>0.02</v>
      </c>
      <c r="D39" s="0">
        <v>0.5</v>
      </c>
      <c r="E39" s="9">
        <v>12.804596762801895</v>
      </c>
      <c r="F39" s="0">
        <v>0.2</v>
      </c>
      <c r="G39" s="15" t="inlineStr">
        <is>
          <t xml:space="preserve">PASS</t>
        </is>
      </c>
    </row>
    <row r="40">
      <c r="A40" s="0" t="inlineStr">
        <is>
          <t xml:space="preserve">VG-010</t>
        </is>
      </c>
      <c r="B40" s="0" t="inlineStr">
        <is>
          <t xml:space="preserve">CRAWL_4PCT</t>
        </is>
      </c>
      <c r="C40" s="0">
        <v>0.04</v>
      </c>
      <c r="D40" s="0">
        <v>0.5</v>
      </c>
      <c r="E40" s="9">
        <v>14.250698981074198</v>
      </c>
      <c r="F40" s="0">
        <v>0.2</v>
      </c>
      <c r="G40" s="15" t="inlineStr">
        <is>
          <t xml:space="preserve">PASS</t>
        </is>
      </c>
    </row>
    <row r="41">
      <c r="A41" s="0" t="inlineStr">
        <is>
          <t xml:space="preserve">VG-010</t>
        </is>
      </c>
      <c r="B41" s="0" t="inlineStr">
        <is>
          <t xml:space="preserve">CRAWL_6PCT</t>
        </is>
      </c>
      <c r="C41" s="0">
        <v>0.06</v>
      </c>
      <c r="D41" s="0">
        <v>0.5</v>
      </c>
      <c r="E41" s="9">
        <v>15.870328898362112</v>
      </c>
      <c r="F41" s="0">
        <v>0.2</v>
      </c>
      <c r="G41" s="15" t="inlineStr">
        <is>
          <t xml:space="preserve">PASS</t>
        </is>
      </c>
    </row>
    <row r="42">
      <c r="A42" s="0" t="inlineStr">
        <is>
          <t xml:space="preserve">VG-011</t>
        </is>
      </c>
      <c r="B42" s="0" t="inlineStr">
        <is>
          <t xml:space="preserve">CRAWL_0PCT</t>
        </is>
      </c>
      <c r="C42" s="0">
        <v>0</v>
      </c>
      <c r="D42" s="0">
        <v>0.5</v>
      </c>
      <c r="E42" s="9">
        <v>10.74731670223499</v>
      </c>
      <c r="F42" s="0">
        <v>0.2</v>
      </c>
      <c r="G42" s="15" t="inlineStr">
        <is>
          <t xml:space="preserve">PASS</t>
        </is>
      </c>
    </row>
    <row r="43">
      <c r="A43" s="0" t="inlineStr">
        <is>
          <t xml:space="preserve">VG-011</t>
        </is>
      </c>
      <c r="B43" s="0" t="inlineStr">
        <is>
          <t xml:space="preserve">CRAWL_2PCT</t>
        </is>
      </c>
      <c r="C43" s="0">
        <v>0.02</v>
      </c>
      <c r="D43" s="0">
        <v>0.5</v>
      </c>
      <c r="E43" s="9">
        <v>11.95237843391249</v>
      </c>
      <c r="F43" s="0">
        <v>0.2</v>
      </c>
      <c r="G43" s="15" t="inlineStr">
        <is>
          <t xml:space="preserve">PASS</t>
        </is>
      </c>
    </row>
    <row r="44">
      <c r="A44" s="0" t="inlineStr">
        <is>
          <t xml:space="preserve">VG-011</t>
        </is>
      </c>
      <c r="B44" s="0" t="inlineStr">
        <is>
          <t xml:space="preserve">CRAWL_4PCT</t>
        </is>
      </c>
      <c r="C44" s="0">
        <v>0.04</v>
      </c>
      <c r="D44" s="0">
        <v>0.5</v>
      </c>
      <c r="E44" s="9">
        <v>13.302348592781934</v>
      </c>
      <c r="F44" s="0">
        <v>0.2</v>
      </c>
      <c r="G44" s="15" t="inlineStr">
        <is>
          <t xml:space="preserve">PASS</t>
        </is>
      </c>
    </row>
    <row r="45">
      <c r="A45" s="0" t="inlineStr">
        <is>
          <t xml:space="preserve">VG-011</t>
        </is>
      </c>
      <c r="B45" s="0" t="inlineStr">
        <is>
          <t xml:space="preserve">CRAWL_6PCT</t>
        </is>
      </c>
      <c r="C45" s="0">
        <v>0.06</v>
      </c>
      <c r="D45" s="0">
        <v>0.5</v>
      </c>
      <c r="E45" s="9">
        <v>14.814322910953015</v>
      </c>
      <c r="F45" s="0">
        <v>0.2</v>
      </c>
      <c r="G45" s="15" t="inlineStr">
        <is>
          <t xml:space="preserve">PASS</t>
        </is>
      </c>
    </row>
    <row r="46">
      <c r="A46" s="0" t="inlineStr">
        <is>
          <t xml:space="preserve">VG-012</t>
        </is>
      </c>
      <c r="B46" s="0" t="inlineStr">
        <is>
          <t xml:space="preserve">CRAWL_0PCT</t>
        </is>
      </c>
      <c r="C46" s="0">
        <v>0</v>
      </c>
      <c r="D46" s="0">
        <v>0.5</v>
      </c>
      <c r="E46" s="9">
        <v>9.956595689365763</v>
      </c>
      <c r="F46" s="0">
        <v>0.2</v>
      </c>
      <c r="G46" s="15" t="inlineStr">
        <is>
          <t xml:space="preserve">PASS</t>
        </is>
      </c>
    </row>
    <row r="47">
      <c r="A47" s="0" t="inlineStr">
        <is>
          <t xml:space="preserve">VG-012</t>
        </is>
      </c>
      <c r="B47" s="0" t="inlineStr">
        <is>
          <t xml:space="preserve">CRAWL_2PCT</t>
        </is>
      </c>
      <c r="C47" s="0">
        <v>0.02</v>
      </c>
      <c r="D47" s="0">
        <v>0.5</v>
      </c>
      <c r="E47" s="9">
        <v>11.072704538847109</v>
      </c>
      <c r="F47" s="0">
        <v>0.2</v>
      </c>
      <c r="G47" s="15" t="inlineStr">
        <is>
          <t xml:space="preserve">PASS</t>
        </is>
      </c>
    </row>
    <row r="48">
      <c r="A48" s="0" t="inlineStr">
        <is>
          <t xml:space="preserve">VG-012</t>
        </is>
      </c>
      <c r="B48" s="0" t="inlineStr">
        <is>
          <t xml:space="preserve">CRAWL_4PCT</t>
        </is>
      </c>
      <c r="C48" s="0">
        <v>0.04</v>
      </c>
      <c r="D48" s="0">
        <v>0.5</v>
      </c>
      <c r="E48" s="9">
        <v>12.322994544377678</v>
      </c>
      <c r="F48" s="0">
        <v>0.2</v>
      </c>
      <c r="G48" s="15" t="inlineStr">
        <is>
          <t xml:space="preserve">PASS</t>
        </is>
      </c>
    </row>
    <row r="49">
      <c r="A49" s="0" t="inlineStr">
        <is>
          <t xml:space="preserve">VG-012</t>
        </is>
      </c>
      <c r="B49" s="0" t="inlineStr">
        <is>
          <t xml:space="preserve">CRAWL_6PCT</t>
        </is>
      </c>
      <c r="C49" s="0">
        <v>0.06</v>
      </c>
      <c r="D49" s="0">
        <v>0.5</v>
      </c>
      <c r="E49" s="9">
        <v>13.723292394531803</v>
      </c>
      <c r="F49" s="0">
        <v>0.2</v>
      </c>
      <c r="G49" s="15" t="inlineStr">
        <is>
          <t xml:space="preserve">PASS</t>
        </is>
      </c>
    </row>
    <row r="50">
      <c r="A50" s="0" t="inlineStr">
        <is>
          <t xml:space="preserve">VG-013</t>
        </is>
      </c>
      <c r="B50" s="0" t="inlineStr">
        <is>
          <t xml:space="preserve">CRAWL_0PCT</t>
        </is>
      </c>
      <c r="C50" s="0">
        <v>0</v>
      </c>
      <c r="D50" s="0">
        <v>0.5</v>
      </c>
      <c r="E50" s="9">
        <v>9.03862186742238</v>
      </c>
      <c r="F50" s="0">
        <v>0.2</v>
      </c>
      <c r="G50" s="15" t="inlineStr">
        <is>
          <t xml:space="preserve">PASS</t>
        </is>
      </c>
    </row>
    <row r="51">
      <c r="A51" s="0" t="inlineStr">
        <is>
          <t xml:space="preserve">VG-013</t>
        </is>
      </c>
      <c r="B51" s="0" t="inlineStr">
        <is>
          <t xml:space="preserve">CRAWL_2PCT</t>
        </is>
      </c>
      <c r="C51" s="0">
        <v>0.02</v>
      </c>
      <c r="D51" s="0">
        <v>0.5</v>
      </c>
      <c r="E51" s="9">
        <v>10.051782255275628</v>
      </c>
      <c r="F51" s="0">
        <v>0.2</v>
      </c>
      <c r="G51" s="15" t="inlineStr">
        <is>
          <t xml:space="preserve">PASS</t>
        </is>
      </c>
    </row>
    <row r="52">
      <c r="A52" s="0" t="inlineStr">
        <is>
          <t xml:space="preserve">VG-013</t>
        </is>
      </c>
      <c r="B52" s="0" t="inlineStr">
        <is>
          <t xml:space="preserve">CRAWL_4PCT</t>
        </is>
      </c>
      <c r="C52" s="0">
        <v>0.04</v>
      </c>
      <c r="D52" s="0">
        <v>0.5</v>
      </c>
      <c r="E52" s="9">
        <v>11.18674226517234</v>
      </c>
      <c r="F52" s="0">
        <v>0.2</v>
      </c>
      <c r="G52" s="15" t="inlineStr">
        <is>
          <t xml:space="preserve">PASS</t>
        </is>
      </c>
    </row>
    <row r="53">
      <c r="A53" s="0" t="inlineStr">
        <is>
          <t xml:space="preserve">VG-013</t>
        </is>
      </c>
      <c r="B53" s="0" t="inlineStr">
        <is>
          <t xml:space="preserve">CRAWL_6PCT</t>
        </is>
      </c>
      <c r="C53" s="0">
        <v>0.06</v>
      </c>
      <c r="D53" s="0">
        <v>0.5</v>
      </c>
      <c r="E53" s="9">
        <v>12.457867633429323</v>
      </c>
      <c r="F53" s="0">
        <v>0.2</v>
      </c>
      <c r="G53" s="15" t="inlineStr">
        <is>
          <t xml:space="preserve">PASS</t>
        </is>
      </c>
    </row>
    <row r="54">
      <c r="A54" s="0" t="inlineStr">
        <is>
          <t xml:space="preserve">VG-014</t>
        </is>
      </c>
      <c r="B54" s="0" t="inlineStr">
        <is>
          <t xml:space="preserve">CRAWL_0PCT</t>
        </is>
      </c>
      <c r="C54" s="0">
        <v>0</v>
      </c>
      <c r="D54" s="0">
        <v>0.5</v>
      </c>
      <c r="E54" s="9">
        <v>10.636019145899695</v>
      </c>
      <c r="F54" s="0">
        <v>0.2</v>
      </c>
      <c r="G54" s="15" t="inlineStr">
        <is>
          <t xml:space="preserve">PASS</t>
        </is>
      </c>
    </row>
    <row r="55">
      <c r="A55" s="0" t="inlineStr">
        <is>
          <t xml:space="preserve">VG-014</t>
        </is>
      </c>
      <c r="B55" s="0" t="inlineStr">
        <is>
          <t xml:space="preserve">CRAWL_2PCT</t>
        </is>
      </c>
      <c r="C55" s="0">
        <v>0.02</v>
      </c>
      <c r="D55" s="0">
        <v>0.5</v>
      </c>
      <c r="E55" s="9">
        <v>11.828125516689422</v>
      </c>
      <c r="F55" s="0">
        <v>0.2</v>
      </c>
      <c r="G55" s="15" t="inlineStr">
        <is>
          <t xml:space="preserve">PASS</t>
        </is>
      </c>
    </row>
    <row r="56">
      <c r="A56" s="0" t="inlineStr">
        <is>
          <t xml:space="preserve">VG-014</t>
        </is>
      </c>
      <c r="B56" s="0" t="inlineStr">
        <is>
          <t xml:space="preserve">CRAWL_4PCT</t>
        </is>
      </c>
      <c r="C56" s="0">
        <v>0.04</v>
      </c>
      <c r="D56" s="0">
        <v>0.5</v>
      </c>
      <c r="E56" s="9">
        <v>13.16353237230998</v>
      </c>
      <c r="F56" s="0">
        <v>0.2</v>
      </c>
      <c r="G56" s="15" t="inlineStr">
        <is>
          <t xml:space="preserve">PASS</t>
        </is>
      </c>
    </row>
    <row r="57">
      <c r="A57" s="0" t="inlineStr">
        <is>
          <t xml:space="preserve">VG-014</t>
        </is>
      </c>
      <c r="B57" s="0" t="inlineStr">
        <is>
          <t xml:space="preserve">CRAWL_6PCT</t>
        </is>
      </c>
      <c r="C57" s="0">
        <v>0.06</v>
      </c>
      <c r="D57" s="0">
        <v>0.5</v>
      </c>
      <c r="E57" s="9">
        <v>14.65914006916601</v>
      </c>
      <c r="F57" s="0">
        <v>0.2</v>
      </c>
      <c r="G57" s="15" t="inlineStr">
        <is>
          <t xml:space="preserve">PASS</t>
        </is>
      </c>
    </row>
    <row r="58">
      <c r="A58" s="0" t="inlineStr">
        <is>
          <t xml:space="preserve">VG-015</t>
        </is>
      </c>
      <c r="B58" s="0" t="inlineStr">
        <is>
          <t xml:space="preserve">CRAWL_0PCT</t>
        </is>
      </c>
      <c r="C58" s="0">
        <v>0</v>
      </c>
      <c r="D58" s="0">
        <v>0.5</v>
      </c>
      <c r="E58" s="9">
        <v>10.270215971416073</v>
      </c>
      <c r="F58" s="0">
        <v>0.2</v>
      </c>
      <c r="G58" s="15" t="inlineStr">
        <is>
          <t xml:space="preserve">PASS</t>
        </is>
      </c>
    </row>
    <row r="59">
      <c r="A59" s="0" t="inlineStr">
        <is>
          <t xml:space="preserve">VG-015</t>
        </is>
      </c>
      <c r="B59" s="0" t="inlineStr">
        <is>
          <t xml:space="preserve">CRAWL_2PCT</t>
        </is>
      </c>
      <c r="C59" s="0">
        <v>0.02</v>
      </c>
      <c r="D59" s="0">
        <v>0.5</v>
      </c>
      <c r="E59" s="9">
        <v>11.42137582245414</v>
      </c>
      <c r="F59" s="0">
        <v>0.2</v>
      </c>
      <c r="G59" s="15" t="inlineStr">
        <is>
          <t xml:space="preserve">PASS</t>
        </is>
      </c>
    </row>
    <row r="60">
      <c r="A60" s="0" t="inlineStr">
        <is>
          <t xml:space="preserve">VG-015</t>
        </is>
      </c>
      <c r="B60" s="0" t="inlineStr">
        <is>
          <t xml:space="preserve">CRAWL_4PCT</t>
        </is>
      </c>
      <c r="C60" s="0">
        <v>0.04</v>
      </c>
      <c r="D60" s="0">
        <v>0.5</v>
      </c>
      <c r="E60" s="9">
        <v>12.710919690235844</v>
      </c>
      <c r="F60" s="0">
        <v>0.2</v>
      </c>
      <c r="G60" s="15" t="inlineStr">
        <is>
          <t xml:space="preserve">PASS</t>
        </is>
      </c>
    </row>
    <row r="61">
      <c r="A61" s="0" t="inlineStr">
        <is>
          <t xml:space="preserve">VG-015</t>
        </is>
      </c>
      <c r="B61" s="0" t="inlineStr">
        <is>
          <t xml:space="preserve">CRAWL_6PCT</t>
        </is>
      </c>
      <c r="C61" s="0">
        <v>0.06</v>
      </c>
      <c r="D61" s="0">
        <v>0.5</v>
      </c>
      <c r="E61" s="9">
        <v>14.155168738016442</v>
      </c>
      <c r="F61" s="0">
        <v>0.2</v>
      </c>
      <c r="G61" s="15" t="inlineStr">
        <is>
          <t xml:space="preserve">PASS</t>
        </is>
      </c>
    </row>
    <row r="62">
      <c r="A62" s="0" t="inlineStr">
        <is>
          <t xml:space="preserve">VG-016</t>
        </is>
      </c>
      <c r="B62" s="0" t="inlineStr">
        <is>
          <t xml:space="preserve">CRAWL_0PCT</t>
        </is>
      </c>
      <c r="C62" s="0">
        <v>0</v>
      </c>
      <c r="D62" s="0">
        <v>0.5</v>
      </c>
      <c r="E62" s="9">
        <v>7.154873130239113</v>
      </c>
      <c r="F62" s="0">
        <v>0.2</v>
      </c>
      <c r="G62" s="15" t="inlineStr">
        <is>
          <t xml:space="preserve">PASS</t>
        </is>
      </c>
    </row>
    <row r="63">
      <c r="A63" s="0" t="inlineStr">
        <is>
          <t xml:space="preserve">VG-016</t>
        </is>
      </c>
      <c r="B63" s="0" t="inlineStr">
        <is>
          <t xml:space="preserve">CRAWL_2PCT</t>
        </is>
      </c>
      <c r="C63" s="0">
        <v>0.02</v>
      </c>
      <c r="D63" s="0">
        <v>0.5</v>
      </c>
      <c r="E63" s="9">
        <v>7.791530866725653</v>
      </c>
      <c r="F63" s="0">
        <v>0.2</v>
      </c>
      <c r="G63" s="15" t="inlineStr">
        <is>
          <t xml:space="preserve">PASS</t>
        </is>
      </c>
    </row>
    <row r="64">
      <c r="A64" s="0" t="inlineStr">
        <is>
          <t xml:space="preserve">VG-016</t>
        </is>
      </c>
      <c r="B64" s="0" t="inlineStr">
        <is>
          <t xml:space="preserve">CRAWL_4PCT</t>
        </is>
      </c>
      <c r="C64" s="0">
        <v>0.04</v>
      </c>
      <c r="D64" s="0">
        <v>0.5</v>
      </c>
      <c r="E64" s="9">
        <v>8.485389910418366</v>
      </c>
      <c r="F64" s="0">
        <v>0.2</v>
      </c>
      <c r="G64" s="15" t="inlineStr">
        <is>
          <t xml:space="preserve">PASS</t>
        </is>
      </c>
    </row>
    <row r="65">
      <c r="A65" s="0" t="inlineStr">
        <is>
          <t xml:space="preserve">VG-016</t>
        </is>
      </c>
      <c r="B65" s="0" t="inlineStr">
        <is>
          <t xml:space="preserve">CRAWL_6PCT</t>
        </is>
      </c>
      <c r="C65" s="0">
        <v>0.06</v>
      </c>
      <c r="D65" s="0">
        <v>0.5</v>
      </c>
      <c r="E65" s="9">
        <v>9.241290155901149</v>
      </c>
      <c r="F65" s="0">
        <v>0.2</v>
      </c>
      <c r="G65" s="15" t="inlineStr">
        <is>
          <t xml:space="preserve">PASS</t>
        </is>
      </c>
    </row>
    <row r="66">
      <c r="A66" s="0" t="inlineStr">
        <is>
          <t xml:space="preserve">VG-017</t>
        </is>
      </c>
      <c r="B66" s="0" t="inlineStr">
        <is>
          <t xml:space="preserve">CRAWL_0PCT</t>
        </is>
      </c>
      <c r="C66" s="0">
        <v>0</v>
      </c>
      <c r="D66" s="0">
        <v>0.5</v>
      </c>
      <c r="E66" s="9">
        <v>10.120292270448498</v>
      </c>
      <c r="F66" s="0">
        <v>0.2</v>
      </c>
      <c r="G66" s="15" t="inlineStr">
        <is>
          <t xml:space="preserve">PASS</t>
        </is>
      </c>
    </row>
    <row r="67">
      <c r="A67" s="0" t="inlineStr">
        <is>
          <t xml:space="preserve">VG-017</t>
        </is>
      </c>
      <c r="B67" s="0" t="inlineStr">
        <is>
          <t xml:space="preserve">CRAWL_2PCT</t>
        </is>
      </c>
      <c r="C67" s="0">
        <v>0.02</v>
      </c>
      <c r="D67" s="0">
        <v>0.5</v>
      </c>
      <c r="E67" s="9">
        <v>11.254514043398306</v>
      </c>
      <c r="F67" s="0">
        <v>0.2</v>
      </c>
      <c r="G67" s="15" t="inlineStr">
        <is>
          <t xml:space="preserve">PASS</t>
        </is>
      </c>
    </row>
    <row r="68">
      <c r="A68" s="0" t="inlineStr">
        <is>
          <t xml:space="preserve">VG-017</t>
        </is>
      </c>
      <c r="B68" s="0" t="inlineStr">
        <is>
          <t xml:space="preserve">CRAWL_4PCT</t>
        </is>
      </c>
      <c r="C68" s="0">
        <v>0.04</v>
      </c>
      <c r="D68" s="0">
        <v>0.5</v>
      </c>
      <c r="E68" s="9">
        <v>12.525069608269494</v>
      </c>
      <c r="F68" s="0">
        <v>0.2</v>
      </c>
      <c r="G68" s="15" t="inlineStr">
        <is>
          <t xml:space="preserve">PASS</t>
        </is>
      </c>
    </row>
    <row r="69">
      <c r="A69" s="0" t="inlineStr">
        <is>
          <t xml:space="preserve">VG-017</t>
        </is>
      </c>
      <c r="B69" s="0" t="inlineStr">
        <is>
          <t xml:space="preserve">CRAWL_6PCT</t>
        </is>
      </c>
      <c r="C69" s="0">
        <v>0.06</v>
      </c>
      <c r="D69" s="0">
        <v>0.5</v>
      </c>
      <c r="E69" s="9">
        <v>13.948036728502965</v>
      </c>
      <c r="F69" s="0">
        <v>0.2</v>
      </c>
      <c r="G69" s="15" t="inlineStr">
        <is>
          <t xml:space="preserve">PASS</t>
        </is>
      </c>
    </row>
    <row r="70">
      <c r="A70" s="0" t="inlineStr">
        <is>
          <t xml:space="preserve">VG-018</t>
        </is>
      </c>
      <c r="B70" s="0" t="inlineStr">
        <is>
          <t xml:space="preserve">CRAWL_0PCT</t>
        </is>
      </c>
      <c r="C70" s="0">
        <v>0</v>
      </c>
      <c r="D70" s="0">
        <v>0.5</v>
      </c>
      <c r="E70" s="9">
        <v>9.072741386541459</v>
      </c>
      <c r="F70" s="0">
        <v>0.2</v>
      </c>
      <c r="G70" s="15" t="inlineStr">
        <is>
          <t xml:space="preserve">PASS</t>
        </is>
      </c>
    </row>
    <row r="71">
      <c r="A71" s="0" t="inlineStr">
        <is>
          <t xml:space="preserve">VG-018</t>
        </is>
      </c>
      <c r="B71" s="0" t="inlineStr">
        <is>
          <t xml:space="preserve">CRAWL_2PCT</t>
        </is>
      </c>
      <c r="C71" s="0">
        <v>0.02</v>
      </c>
      <c r="D71" s="0">
        <v>0.5</v>
      </c>
      <c r="E71" s="9">
        <v>10.088994155207939</v>
      </c>
      <c r="F71" s="0">
        <v>0.2</v>
      </c>
      <c r="G71" s="15" t="inlineStr">
        <is>
          <t xml:space="preserve">PASS</t>
        </is>
      </c>
    </row>
    <row r="72">
      <c r="A72" s="0" t="inlineStr">
        <is>
          <t xml:space="preserve">VG-018</t>
        </is>
      </c>
      <c r="B72" s="0" t="inlineStr">
        <is>
          <t xml:space="preserve">CRAWL_4PCT</t>
        </is>
      </c>
      <c r="C72" s="0">
        <v>0.04</v>
      </c>
      <c r="D72" s="0">
        <v>0.5</v>
      </c>
      <c r="E72" s="9">
        <v>11.22734126496901</v>
      </c>
      <c r="F72" s="0">
        <v>0.2</v>
      </c>
      <c r="G72" s="15" t="inlineStr">
        <is>
          <t xml:space="preserve">PASS</t>
        </is>
      </c>
    </row>
    <row r="73">
      <c r="A73" s="0" t="inlineStr">
        <is>
          <t xml:space="preserve">VG-018</t>
        </is>
      </c>
      <c r="B73" s="0" t="inlineStr">
        <is>
          <t xml:space="preserve">CRAWL_6PCT</t>
        </is>
      </c>
      <c r="C73" s="0">
        <v>0.06</v>
      </c>
      <c r="D73" s="0">
        <v>0.5</v>
      </c>
      <c r="E73" s="9">
        <v>12.50217447468584</v>
      </c>
      <c r="F73" s="0">
        <v>0.2</v>
      </c>
      <c r="G73" s="15" t="inlineStr">
        <is>
          <t xml:space="preserve">PASS</t>
        </is>
      </c>
    </row>
    <row r="74">
      <c r="A74" s="0" t="inlineStr">
        <is>
          <t xml:space="preserve">VG-019</t>
        </is>
      </c>
      <c r="B74" s="0" t="inlineStr">
        <is>
          <t xml:space="preserve">CRAWL_0PCT</t>
        </is>
      </c>
      <c r="C74" s="0">
        <v>0</v>
      </c>
      <c r="D74" s="0">
        <v>0.5</v>
      </c>
      <c r="E74" s="9">
        <v>8.90849626928653</v>
      </c>
      <c r="F74" s="0">
        <v>0.2</v>
      </c>
      <c r="G74" s="15" t="inlineStr">
        <is>
          <t xml:space="preserve">PASS</t>
        </is>
      </c>
    </row>
    <row r="75">
      <c r="A75" s="0" t="inlineStr">
        <is>
          <t xml:space="preserve">VG-019</t>
        </is>
      </c>
      <c r="B75" s="0" t="inlineStr">
        <is>
          <t xml:space="preserve">CRAWL_2PCT</t>
        </is>
      </c>
      <c r="C75" s="0">
        <v>0.02</v>
      </c>
      <c r="D75" s="0">
        <v>0.5</v>
      </c>
      <c r="E75" s="9">
        <v>9.906955328875588</v>
      </c>
      <c r="F75" s="0">
        <v>0.2</v>
      </c>
      <c r="G75" s="15" t="inlineStr">
        <is>
          <t xml:space="preserve">PASS</t>
        </is>
      </c>
    </row>
    <row r="76">
      <c r="A76" s="0" t="inlineStr">
        <is>
          <t xml:space="preserve">VG-019</t>
        </is>
      </c>
      <c r="B76" s="0" t="inlineStr">
        <is>
          <t xml:space="preserve">CRAWL_4PCT</t>
        </is>
      </c>
      <c r="C76" s="0">
        <v>0.04</v>
      </c>
      <c r="D76" s="0">
        <v>0.5</v>
      </c>
      <c r="E76" s="9">
        <v>11.025434527146992</v>
      </c>
      <c r="F76" s="0">
        <v>0.2</v>
      </c>
      <c r="G76" s="15" t="inlineStr">
        <is>
          <t xml:space="preserve">PASS</t>
        </is>
      </c>
    </row>
    <row r="77">
      <c r="A77" s="0" t="inlineStr">
        <is>
          <t xml:space="preserve">VG-019</t>
        </is>
      </c>
      <c r="B77" s="0" t="inlineStr">
        <is>
          <t xml:space="preserve">CRAWL_6PCT</t>
        </is>
      </c>
      <c r="C77" s="0">
        <v>0.06</v>
      </c>
      <c r="D77" s="0">
        <v>0.5</v>
      </c>
      <c r="E77" s="9">
        <v>12.278088342649598</v>
      </c>
      <c r="F77" s="0">
        <v>0.2</v>
      </c>
      <c r="G77" s="15" t="inlineStr">
        <is>
          <t xml:space="preserve">PASS</t>
        </is>
      </c>
    </row>
    <row r="78">
      <c r="A78" s="0" t="inlineStr">
        <is>
          <t xml:space="preserve">VG-020</t>
        </is>
      </c>
      <c r="B78" s="0" t="inlineStr">
        <is>
          <t xml:space="preserve">CRAWL_0PCT</t>
        </is>
      </c>
      <c r="C78" s="0">
        <v>0</v>
      </c>
      <c r="D78" s="0">
        <v>0.5</v>
      </c>
      <c r="E78" s="9">
        <v>8.986438974989062</v>
      </c>
      <c r="F78" s="0">
        <v>0.2</v>
      </c>
      <c r="G78" s="15" t="inlineStr">
        <is>
          <t xml:space="preserve">PASS</t>
        </is>
      </c>
    </row>
    <row r="79">
      <c r="A79" s="0" t="inlineStr">
        <is>
          <t xml:space="preserve">VG-020</t>
        </is>
      </c>
      <c r="B79" s="0" t="inlineStr">
        <is>
          <t xml:space="preserve">CRAWL_2PCT</t>
        </is>
      </c>
      <c r="C79" s="0">
        <v>0.02</v>
      </c>
      <c r="D79" s="0">
        <v>0.5</v>
      </c>
      <c r="E79" s="9">
        <v>9.993703844647369</v>
      </c>
      <c r="F79" s="0">
        <v>0.2</v>
      </c>
      <c r="G79" s="15" t="inlineStr">
        <is>
          <t xml:space="preserve">PASS</t>
        </is>
      </c>
    </row>
    <row r="80">
      <c r="A80" s="0" t="inlineStr">
        <is>
          <t xml:space="preserve">VG-020</t>
        </is>
      </c>
      <c r="B80" s="0" t="inlineStr">
        <is>
          <t xml:space="preserve">CRAWL_4PCT</t>
        </is>
      </c>
      <c r="C80" s="0">
        <v>0.04</v>
      </c>
      <c r="D80" s="0">
        <v>0.5</v>
      </c>
      <c r="E80" s="9">
        <v>11.12205472895636</v>
      </c>
      <c r="F80" s="0">
        <v>0.2</v>
      </c>
      <c r="G80" s="15" t="inlineStr">
        <is>
          <t xml:space="preserve">PASS</t>
        </is>
      </c>
    </row>
    <row r="81">
      <c r="A81" s="0" t="inlineStr">
        <is>
          <t xml:space="preserve">VG-020</t>
        </is>
      </c>
      <c r="B81" s="0" t="inlineStr">
        <is>
          <t xml:space="preserve">CRAWL_6PCT</t>
        </is>
      </c>
      <c r="C81" s="0">
        <v>0.06</v>
      </c>
      <c r="D81" s="0">
        <v>0.5</v>
      </c>
      <c r="E81" s="9">
        <v>12.385772645764384</v>
      </c>
      <c r="F81" s="0">
        <v>0.2</v>
      </c>
      <c r="G81" s="15" t="inlineStr">
        <is>
          <t xml:space="preserve">PASS</t>
        </is>
      </c>
    </row>
  </sheetData>
  <autoFilter ref="A1:G81"/>
  <pageMargins left="0.35" right="0.35" top="0.5" bottom="0.5" header="0.2" footer="0.2"/>
</worksheet>
</file>

<file path=xl/worksheets/sheet18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24.00" customWidth="1"/>
    <col min="2" max="2" width="10.00" customWidth="1"/>
    <col min="3" max="3" width="17.10" customWidth="1"/>
    <col min="4" max="4" width="10.80" customWidth="1"/>
    <col min="5" max="5" width="13.50" customWidth="1"/>
    <col min="6" max="6" width="11.70" customWidth="1"/>
    <col min="7" max="7" width="13.50" customWidth="1"/>
    <col min="8" max="8" width="10.00" customWidth="1"/>
    <col min="9" max="9" width="18.90" customWidth="1"/>
    <col min="10" max="10" width="15.30" customWidth="1"/>
    <col min="11" max="11" width="11.70" customWidth="1"/>
    <col min="12" max="12" width="18.00" customWidth="1"/>
    <col min="13" max="13" width="16.20" customWidth="1"/>
    <col min="14" max="14" width="16.20" customWidth="1"/>
    <col min="15" max="15" width="22.50" customWidth="1"/>
    <col min="16" max="16" width="17.10" customWidth="1"/>
    <col min="17" max="17" width="18.90" customWidth="1"/>
    <col min="18" max="18" width="38.00" customWidth="1"/>
    <col min="19" max="19" width="22.50" customWidth="1"/>
    <col min="20" max="20" width="18.00" customWidth="1"/>
    <col min="21" max="21" width="14.00" customWidth="1"/>
  </cols>
  <sheetData>
    <row r="1" ht="30" customHeight="1">
      <c r="A1" s="4" t="inlineStr">
        <is>
          <t xml:space="preserve">scenario_id</t>
        </is>
      </c>
      <c r="B1" s="4" t="inlineStr">
        <is>
          <t xml:space="preserve">energy_case</t>
        </is>
      </c>
      <c r="C1" s="4" t="inlineStr">
        <is>
          <t xml:space="preserve">cfads_factor</t>
        </is>
      </c>
      <c r="D1" s="4" t="inlineStr">
        <is>
          <t xml:space="preserve">capex_factor</t>
        </is>
      </c>
      <c r="E1" s="4" t="inlineStr">
        <is>
          <t xml:space="preserve">cod_delay_years</t>
        </is>
      </c>
      <c r="F1" s="4" t="inlineStr">
        <is>
          <t xml:space="preserve">interest_rate</t>
        </is>
      </c>
      <c r="G1" s="4" t="inlineStr">
        <is>
          <t xml:space="preserve">fx_depreciation</t>
        </is>
      </c>
      <c r="H1" s="4" t="inlineStr">
        <is>
          <t xml:space="preserve">dso_days</t>
        </is>
      </c>
      <c r="I1" s="4" t="inlineStr">
        <is>
          <t xml:space="preserve">offtaker_default_year</t>
        </is>
      </c>
      <c r="J1" s="4" t="inlineStr">
        <is>
          <t xml:space="preserve">site_event_factor</t>
        </is>
      </c>
      <c r="K1" s="4" t="inlineStr">
        <is>
          <t xml:space="preserve">common_factor</t>
        </is>
      </c>
      <c r="L1" s="4" t="inlineStr">
        <is>
          <t xml:space="preserve">portfolio_cfads_bvnd</t>
        </is>
      </c>
      <c r="M1" s="4" t="inlineStr">
        <is>
          <t xml:space="preserve">portfolio_dscr</t>
        </is>
      </c>
      <c r="N1" s="4" t="inlineStr">
        <is>
          <t xml:space="preserve">debt_service_bvnd</t>
        </is>
      </c>
      <c r="O1" s="4" t="inlineStr">
        <is>
          <t xml:space="preserve">minimum_annual_cfads_bvnd</t>
        </is>
      </c>
      <c r="P1" s="4" t="inlineStr">
        <is>
          <t xml:space="preserve">minimum_annual_dscr</t>
        </is>
      </c>
      <c r="Q1" s="4" t="inlineStr">
        <is>
          <t xml:space="preserve">terminal_branch</t>
        </is>
      </c>
      <c r="R1" s="4" t="inlineStr">
        <is>
          <t xml:space="preserve">mechanism_note</t>
        </is>
      </c>
      <c r="S1" s="4" t="inlineStr">
        <is>
          <t xml:space="preserve">scenario_isolation_status</t>
        </is>
      </c>
      <c r="T1" s="4" t="inlineStr">
        <is>
          <t xml:space="preserve">DSCR Headroom vs 1.20x</t>
        </is>
      </c>
      <c r="U1" s="4" t="inlineStr">
        <is>
          <t xml:space="preserve">Credit Flag</t>
        </is>
      </c>
    </row>
    <row r="2">
      <c r="A2" s="0" t="inlineStr">
        <is>
          <t xml:space="preserve">BASE_SPONSOR</t>
        </is>
      </c>
      <c r="B2" s="0" t="inlineStr">
        <is>
          <t xml:space="preserve">P50</t>
        </is>
      </c>
      <c r="C2" s="11">
        <v>1</v>
      </c>
      <c r="D2" s="11">
        <v>1</v>
      </c>
      <c r="E2" s="23">
        <v>0</v>
      </c>
      <c r="F2" s="11">
        <v>0.085</v>
      </c>
      <c r="G2" s="11">
        <v>0</v>
      </c>
      <c r="H2" s="0">
        <v>30</v>
      </c>
      <c r="I2" s="23">
        <v>0</v>
      </c>
      <c r="J2" s="11">
        <v>1</v>
      </c>
      <c r="K2" s="11">
        <v>1</v>
      </c>
      <c r="L2" s="9">
        <v>481.95172518057643</v>
      </c>
      <c r="M2" s="13">
        <v>1.3</v>
      </c>
      <c r="N2" s="9">
        <v>229.13561997211752</v>
      </c>
      <c r="O2" s="9">
        <v>28.464870527746232</v>
      </c>
      <c r="P2" s="13">
        <v>1.3</v>
      </c>
      <c r="Q2" s="0" t="inlineStr">
        <is>
          <t xml:space="preserve">ZERO_RESIDUAL_NO_SALE</t>
        </is>
      </c>
      <c r="R2" s="0" t="inlineStr">
        <is>
          <t xml:space="preserve">base P50 economics</t>
        </is>
      </c>
      <c r="S2" s="15" t="inlineStr">
        <is>
          <t xml:space="preserve">PASS</t>
        </is>
      </c>
      <c r="T2" s="13">
        <f>IF(M2="","",M2-1.20)</f>
        <v>0.10000000000000009</v>
      </c>
      <c r="U2" s="15" t="str">
        <f>IF(OR(M2="",M2&lt;1.20),"BREACH","PASS")</f>
        <v>PASS</v>
      </c>
    </row>
    <row r="3">
      <c r="A3" s="0" t="inlineStr">
        <is>
          <t xml:space="preserve">P90_ENERGY</t>
        </is>
      </c>
      <c r="B3" s="0" t="inlineStr">
        <is>
          <t xml:space="preserve">P90</t>
        </is>
      </c>
      <c r="C3" s="11">
        <v>0.8944135615408202</v>
      </c>
      <c r="D3" s="11">
        <v>1</v>
      </c>
      <c r="E3" s="23">
        <v>0</v>
      </c>
      <c r="F3" s="11">
        <v>0.085</v>
      </c>
      <c r="G3" s="11">
        <v>0</v>
      </c>
      <c r="H3" s="0">
        <v>30</v>
      </c>
      <c r="I3" s="23">
        <v>0</v>
      </c>
      <c r="J3" s="11">
        <v>1</v>
      </c>
      <c r="K3" s="11">
        <v>1</v>
      </c>
      <c r="L3" s="9">
        <v>431.06415900950196</v>
      </c>
      <c r="M3" s="13">
        <v>1.1587606917471476</v>
      </c>
      <c r="N3" s="9">
        <v>229.13561997211752</v>
      </c>
      <c r="O3" s="9">
        <v>25.524995600471186</v>
      </c>
      <c r="P3" s="13">
        <v>1.1587606917471476</v>
      </c>
      <c r="Q3" s="0" t="inlineStr">
        <is>
          <t xml:space="preserve">ZERO_RESIDUAL_NO_SALE</t>
        </is>
      </c>
      <c r="R3" s="0" t="inlineStr">
        <is>
          <t xml:space="preserve">8,760 profile recomputed with P90 generation</t>
        </is>
      </c>
      <c r="S3" s="15" t="inlineStr">
        <is>
          <t xml:space="preserve">PASS</t>
        </is>
      </c>
      <c r="T3" s="16">
        <f>IF(M3="","",M3-1.20)</f>
        <v>-0.04123930825285238</v>
      </c>
      <c r="U3" s="16" t="str">
        <f>IF(OR(M3="",M3&lt;1.20),"BREACH","PASS")</f>
        <v>BREACH</v>
      </c>
    </row>
    <row r="4">
      <c r="A4" s="0" t="inlineStr">
        <is>
          <t xml:space="preserve">CAPEX_OVERRUN</t>
        </is>
      </c>
      <c r="B4" s="0" t="inlineStr">
        <is>
          <t xml:space="preserve">P50</t>
        </is>
      </c>
      <c r="C4" s="11">
        <v>1</v>
      </c>
      <c r="D4" s="11">
        <v>1.15</v>
      </c>
      <c r="E4" s="23">
        <v>0</v>
      </c>
      <c r="F4" s="11">
        <v>0.085</v>
      </c>
      <c r="G4" s="11">
        <v>0</v>
      </c>
      <c r="H4" s="0">
        <v>30</v>
      </c>
      <c r="I4" s="23">
        <v>0</v>
      </c>
      <c r="J4" s="11">
        <v>1</v>
      </c>
      <c r="K4" s="11">
        <v>1</v>
      </c>
      <c r="L4" s="9">
        <v>481.95172518057643</v>
      </c>
      <c r="M4" s="13">
        <v>1.3</v>
      </c>
      <c r="N4" s="9">
        <v>229.13561997211752</v>
      </c>
      <c r="O4" s="9">
        <v>28.464870527746232</v>
      </c>
      <c r="P4" s="13">
        <v>1.3</v>
      </c>
      <c r="Q4" s="0" t="inlineStr">
        <is>
          <t xml:space="preserve">ZERO_RESIDUAL_NO_SALE</t>
        </is>
      </c>
      <c r="R4" s="0" t="inlineStr">
        <is>
          <t xml:space="preserve">15% CAPEX overrun; facility re-sized against the same CFADS</t>
        </is>
      </c>
      <c r="S4" s="15" t="inlineStr">
        <is>
          <t xml:space="preserve">PASS</t>
        </is>
      </c>
      <c r="T4" s="13">
        <f>IF(M4="","",M4-1.20)</f>
        <v>0.10000000000000009</v>
      </c>
      <c r="U4" s="15" t="str">
        <f>IF(OR(M4="",M4&lt;1.20),"BREACH","PASS")</f>
        <v>PASS</v>
      </c>
    </row>
    <row r="5">
      <c r="A5" s="0" t="inlineStr">
        <is>
          <t xml:space="preserve">COD_DELAY</t>
        </is>
      </c>
      <c r="B5" s="0" t="inlineStr">
        <is>
          <t xml:space="preserve">P50</t>
        </is>
      </c>
      <c r="C5" s="11">
        <v>0.9246003895910843</v>
      </c>
      <c r="D5" s="11">
        <v>1</v>
      </c>
      <c r="E5" s="23">
        <v>1</v>
      </c>
      <c r="F5" s="11">
        <v>0.085</v>
      </c>
      <c r="G5" s="11">
        <v>0</v>
      </c>
      <c r="H5" s="0">
        <v>30</v>
      </c>
      <c r="I5" s="23">
        <v>0</v>
      </c>
      <c r="J5" s="11">
        <v>1</v>
      </c>
      <c r="K5" s="11">
        <v>1</v>
      </c>
      <c r="L5" s="9">
        <v>445.61275286605616</v>
      </c>
      <c r="M5" s="13">
        <v>0</v>
      </c>
      <c r="N5" s="9">
        <v>229.13561997211752</v>
      </c>
      <c r="O5" s="9">
        <v>0</v>
      </c>
      <c r="P5" s="13">
        <v>0</v>
      </c>
      <c r="Q5" s="0" t="inlineStr">
        <is>
          <t xml:space="preserve">ZERO_RESIDUAL_NO_SALE</t>
        </is>
      </c>
      <c r="R5" s="0" t="inlineStr">
        <is>
          <t xml:space="preserve">one-year COD delay shifts CFADS one period</t>
        </is>
      </c>
      <c r="S5" s="15" t="inlineStr">
        <is>
          <t xml:space="preserve">PASS</t>
        </is>
      </c>
      <c r="T5" s="16">
        <f>IF(M5="","",M5-1.20)</f>
        <v>-1.2</v>
      </c>
      <c r="U5" s="16" t="str">
        <f>IF(OR(M5="",M5&lt;1.20),"BREACH","PASS")</f>
        <v>BREACH</v>
      </c>
    </row>
    <row r="6">
      <c r="A6" s="0" t="inlineStr">
        <is>
          <t xml:space="preserve">INTEREST_RATE_SHOCK</t>
        </is>
      </c>
      <c r="B6" s="0" t="inlineStr">
        <is>
          <t xml:space="preserve">P50</t>
        </is>
      </c>
      <c r="C6" s="11">
        <v>1</v>
      </c>
      <c r="D6" s="11">
        <v>1</v>
      </c>
      <c r="E6" s="23">
        <v>0</v>
      </c>
      <c r="F6" s="11">
        <v>0.11</v>
      </c>
      <c r="G6" s="11">
        <v>0</v>
      </c>
      <c r="H6" s="0">
        <v>30</v>
      </c>
      <c r="I6" s="23">
        <v>0</v>
      </c>
      <c r="J6" s="11">
        <v>1</v>
      </c>
      <c r="K6" s="11">
        <v>1</v>
      </c>
      <c r="L6" s="9">
        <v>481.95172518057643</v>
      </c>
      <c r="M6" s="13">
        <v>1.3</v>
      </c>
      <c r="N6" s="9">
        <v>242.39341881233213</v>
      </c>
      <c r="O6" s="9">
        <v>28.464870527746232</v>
      </c>
      <c r="P6" s="13">
        <v>1.3</v>
      </c>
      <c r="Q6" s="0" t="inlineStr">
        <is>
          <t xml:space="preserve">ZERO_RESIDUAL_NO_SALE</t>
        </is>
      </c>
      <c r="R6" s="0" t="inlineStr">
        <is>
          <t xml:space="preserve">rate shock holds debt and rebuilds service</t>
        </is>
      </c>
      <c r="S6" s="15" t="inlineStr">
        <is>
          <t xml:space="preserve">PASS</t>
        </is>
      </c>
      <c r="T6" s="13">
        <f>IF(M6="","",M6-1.20)</f>
        <v>0.10000000000000009</v>
      </c>
      <c r="U6" s="15" t="str">
        <f>IF(OR(M6="",M6&lt;1.20),"BREACH","PASS")</f>
        <v>PASS</v>
      </c>
    </row>
    <row r="7">
      <c r="A7" s="0" t="inlineStr">
        <is>
          <t xml:space="preserve">FX_CRAWL</t>
        </is>
      </c>
      <c r="B7" s="0" t="inlineStr">
        <is>
          <t xml:space="preserve">P50</t>
        </is>
      </c>
      <c r="C7" s="11">
        <v>1</v>
      </c>
      <c r="D7" s="11">
        <v>1</v>
      </c>
      <c r="E7" s="23">
        <v>0</v>
      </c>
      <c r="F7" s="11">
        <v>0.085</v>
      </c>
      <c r="G7" s="11">
        <v>0.04</v>
      </c>
      <c r="H7" s="0">
        <v>30</v>
      </c>
      <c r="I7" s="23">
        <v>0</v>
      </c>
      <c r="J7" s="11">
        <v>1</v>
      </c>
      <c r="K7" s="11">
        <v>1</v>
      </c>
      <c r="L7" s="9">
        <v>481.95172518057643</v>
      </c>
      <c r="M7" s="13">
        <v>1.0729118665921742</v>
      </c>
      <c r="N7" s="9">
        <v>256.3673731686256</v>
      </c>
      <c r="O7" s="9">
        <v>28.464870527746232</v>
      </c>
      <c r="P7" s="13">
        <v>1.0729118665921742</v>
      </c>
      <c r="Q7" s="0" t="inlineStr">
        <is>
          <t xml:space="preserve">ZERO_RESIDUAL_NO_SALE</t>
        </is>
      </c>
      <c r="R7" s="0" t="inlineStr">
        <is>
          <t xml:space="preserve">4% annual VND depreciation translates USD debt service by period</t>
        </is>
      </c>
      <c r="S7" s="15" t="inlineStr">
        <is>
          <t xml:space="preserve">PASS</t>
        </is>
      </c>
      <c r="T7" s="16">
        <f>IF(M7="","",M7-1.20)</f>
        <v>-0.12708813340782577</v>
      </c>
      <c r="U7" s="16" t="str">
        <f>IF(OR(M7="",M7&lt;1.20),"BREACH","PASS")</f>
        <v>BREACH</v>
      </c>
    </row>
    <row r="8">
      <c r="A8" s="0" t="inlineStr">
        <is>
          <t xml:space="preserve">FX_ONE_OFF</t>
        </is>
      </c>
      <c r="B8" s="0" t="inlineStr">
        <is>
          <t xml:space="preserve">P50</t>
        </is>
      </c>
      <c r="C8" s="11">
        <v>1</v>
      </c>
      <c r="D8" s="11">
        <v>1</v>
      </c>
      <c r="E8" s="23">
        <v>0</v>
      </c>
      <c r="F8" s="11">
        <v>0.085</v>
      </c>
      <c r="G8" s="11">
        <v>0.1</v>
      </c>
      <c r="H8" s="0">
        <v>30</v>
      </c>
      <c r="I8" s="23">
        <v>0</v>
      </c>
      <c r="J8" s="11">
        <v>1</v>
      </c>
      <c r="K8" s="11">
        <v>1</v>
      </c>
      <c r="L8" s="9">
        <v>481.95172518057643</v>
      </c>
      <c r="M8" s="13">
        <v>0.7742824603755861</v>
      </c>
      <c r="N8" s="9">
        <v>310.71815495160973</v>
      </c>
      <c r="O8" s="9">
        <v>28.464870527746232</v>
      </c>
      <c r="P8" s="13">
        <v>0.7742824603755861</v>
      </c>
      <c r="Q8" s="0" t="inlineStr">
        <is>
          <t xml:space="preserve">ZERO_RESIDUAL_NO_SALE</t>
        </is>
      </c>
      <c r="R8" s="0" t="inlineStr">
        <is>
          <t xml:space="preserve">10% one-off FX translation shock</t>
        </is>
      </c>
      <c r="S8" s="15" t="inlineStr">
        <is>
          <t xml:space="preserve">PASS</t>
        </is>
      </c>
      <c r="T8" s="16">
        <f>IF(M8="","",M8-1.20)</f>
        <v>-0.42571753962441383</v>
      </c>
      <c r="U8" s="16" t="str">
        <f>IF(OR(M8="",M8&lt;1.20),"BREACH","PASS")</f>
        <v>BREACH</v>
      </c>
    </row>
    <row r="9">
      <c r="A9" s="0" t="inlineStr">
        <is>
          <t xml:space="preserve">DSO_DELAY</t>
        </is>
      </c>
      <c r="B9" s="0" t="inlineStr">
        <is>
          <t xml:space="preserve">P50</t>
        </is>
      </c>
      <c r="C9" s="11">
        <v>1</v>
      </c>
      <c r="D9" s="11">
        <v>1</v>
      </c>
      <c r="E9" s="23">
        <v>0</v>
      </c>
      <c r="F9" s="11">
        <v>0.085</v>
      </c>
      <c r="G9" s="11">
        <v>0</v>
      </c>
      <c r="H9" s="0">
        <v>90</v>
      </c>
      <c r="I9" s="23">
        <v>0</v>
      </c>
      <c r="J9" s="11">
        <v>1</v>
      </c>
      <c r="K9" s="11">
        <v>1</v>
      </c>
      <c r="L9" s="9">
        <v>481.95172518057643</v>
      </c>
      <c r="M9" s="13">
        <v>0.9981823243377123</v>
      </c>
      <c r="N9" s="9">
        <v>229.13561997211752</v>
      </c>
      <c r="O9" s="9">
        <v>21.85625432719829</v>
      </c>
      <c r="P9" s="13">
        <v>0.9981823243377123</v>
      </c>
      <c r="Q9" s="0" t="inlineStr">
        <is>
          <t xml:space="preserve">ZERO_RESIDUAL_NO_SALE</t>
        </is>
      </c>
      <c r="R9" s="0" t="inlineStr">
        <is>
          <t xml:space="preserve">90-day receivables cycle recomputes working capital</t>
        </is>
      </c>
      <c r="S9" s="15" t="inlineStr">
        <is>
          <t xml:space="preserve">PASS</t>
        </is>
      </c>
      <c r="T9" s="16">
        <f>IF(M9="","",M9-1.20)</f>
        <v>-0.2018176756622877</v>
      </c>
      <c r="U9" s="16" t="str">
        <f>IF(OR(M9="",M9&lt;1.20),"BREACH","PASS")</f>
        <v>BREACH</v>
      </c>
    </row>
    <row r="10">
      <c r="A10" s="0" t="inlineStr">
        <is>
          <t xml:space="preserve">OFFTAKER_PARTIAL_NONPAYMENT</t>
        </is>
      </c>
      <c r="B10" s="0" t="inlineStr">
        <is>
          <t xml:space="preserve">P50</t>
        </is>
      </c>
      <c r="C10" s="11">
        <v>0.9933783491482591</v>
      </c>
      <c r="D10" s="11">
        <v>1</v>
      </c>
      <c r="E10" s="23">
        <v>0</v>
      </c>
      <c r="F10" s="11">
        <v>0.085</v>
      </c>
      <c r="G10" s="11">
        <v>0</v>
      </c>
      <c r="H10" s="0">
        <v>30</v>
      </c>
      <c r="I10" s="23">
        <v>3</v>
      </c>
      <c r="J10" s="11">
        <v>1</v>
      </c>
      <c r="K10" s="11">
        <v>1</v>
      </c>
      <c r="L10" s="9">
        <v>478.7604091290364</v>
      </c>
      <c r="M10" s="13">
        <v>1.1700000000000002</v>
      </c>
      <c r="N10" s="9">
        <v>229.13561997211752</v>
      </c>
      <c r="O10" s="9">
        <v>28.464870527746232</v>
      </c>
      <c r="P10" s="13">
        <v>1.1700000000000002</v>
      </c>
      <c r="Q10" s="0" t="inlineStr">
        <is>
          <t xml:space="preserve">ZERO_RESIDUAL_NO_SALE</t>
        </is>
      </c>
      <c r="R10" s="0" t="inlineStr">
        <is>
          <t xml:space="preserve">10% payment shortfall in year 3</t>
        </is>
      </c>
      <c r="S10" s="15" t="inlineStr">
        <is>
          <t xml:space="preserve">PASS</t>
        </is>
      </c>
      <c r="T10" s="16">
        <f>IF(M10="","",M10-1.20)</f>
        <v>-0.029999999999999805</v>
      </c>
      <c r="U10" s="16" t="str">
        <f>IF(OR(M10="",M10&lt;1.20),"BREACH","PASS")</f>
        <v>BREACH</v>
      </c>
    </row>
    <row r="11">
      <c r="A11" s="0" t="inlineStr">
        <is>
          <t xml:space="preserve">OFFTAKER_DEFAULT_TERMINATION</t>
        </is>
      </c>
      <c r="B11" s="0" t="inlineStr">
        <is>
          <t xml:space="preserve">P50</t>
        </is>
      </c>
      <c r="C11" s="11">
        <v>0.19132923505106636</v>
      </c>
      <c r="D11" s="11">
        <v>1</v>
      </c>
      <c r="E11" s="23">
        <v>0</v>
      </c>
      <c r="F11" s="11">
        <v>0.085</v>
      </c>
      <c r="G11" s="11">
        <v>0</v>
      </c>
      <c r="H11" s="0">
        <v>30</v>
      </c>
      <c r="I11" s="23">
        <v>4</v>
      </c>
      <c r="J11" s="11">
        <v>1</v>
      </c>
      <c r="K11" s="11">
        <v>1</v>
      </c>
      <c r="L11" s="9">
        <v>92.21145491034144</v>
      </c>
      <c r="M11" s="13">
        <v>0</v>
      </c>
      <c r="N11" s="9">
        <v>229.13561997211752</v>
      </c>
      <c r="O11" s="9">
        <v>0</v>
      </c>
      <c r="P11" s="13">
        <v>0</v>
      </c>
      <c r="Q11" s="0" t="inlineStr">
        <is>
          <t xml:space="preserve">ZERO_RESIDUAL_NO_SALE</t>
        </is>
      </c>
      <c r="R11" s="0" t="inlineStr">
        <is>
          <t xml:space="preserve">selected portfolio CFADS terminates from year 4</t>
        </is>
      </c>
      <c r="S11" s="15" t="inlineStr">
        <is>
          <t xml:space="preserve">PASS</t>
        </is>
      </c>
      <c r="T11" s="16">
        <f>IF(M11="","",M11-1.20)</f>
        <v>-1.2</v>
      </c>
      <c r="U11" s="16" t="str">
        <f>IF(OR(M11="",M11&lt;1.20),"BREACH","PASS")</f>
        <v>BREACH</v>
      </c>
    </row>
    <row r="12">
      <c r="A12" s="0" t="inlineStr">
        <is>
          <t xml:space="preserve">SITE_CONTINUITY_EVENT</t>
        </is>
      </c>
      <c r="B12" s="0" t="inlineStr">
        <is>
          <t xml:space="preserve">P50</t>
        </is>
      </c>
      <c r="C12" s="11">
        <v>0.8800000000000001</v>
      </c>
      <c r="D12" s="11">
        <v>1</v>
      </c>
      <c r="E12" s="23">
        <v>0</v>
      </c>
      <c r="F12" s="11">
        <v>0.085</v>
      </c>
      <c r="G12" s="11">
        <v>0</v>
      </c>
      <c r="H12" s="0">
        <v>30</v>
      </c>
      <c r="I12" s="23">
        <v>0</v>
      </c>
      <c r="J12" s="11">
        <v>0.88</v>
      </c>
      <c r="K12" s="11">
        <v>1</v>
      </c>
      <c r="L12" s="9">
        <v>424.1175181589073</v>
      </c>
      <c r="M12" s="13">
        <v>1.144</v>
      </c>
      <c r="N12" s="9">
        <v>229.13561997211752</v>
      </c>
      <c r="O12" s="9">
        <v>25.049086064416684</v>
      </c>
      <c r="P12" s="13">
        <v>1.144</v>
      </c>
      <c r="Q12" s="0" t="inlineStr">
        <is>
          <t xml:space="preserve">ZERO_RESIDUAL_NO_SALE</t>
        </is>
      </c>
      <c r="R12" s="0" t="inlineStr">
        <is>
          <t xml:space="preserve">12% cash-flow event haircut</t>
        </is>
      </c>
      <c r="S12" s="15" t="inlineStr">
        <is>
          <t xml:space="preserve">PASS</t>
        </is>
      </c>
      <c r="T12" s="16">
        <f>IF(M12="","",M12-1.20)</f>
        <v>-0.05600000000000005</v>
      </c>
      <c r="U12" s="16" t="str">
        <f>IF(OR(M12="",M12&lt;1.20),"BREACH","PASS")</f>
        <v>BREACH</v>
      </c>
    </row>
    <row r="13">
      <c r="A13" s="0" t="inlineStr">
        <is>
          <t xml:space="preserve">COMBINED_DOWNSIDE</t>
        </is>
      </c>
      <c r="B13" s="0" t="inlineStr">
        <is>
          <t xml:space="preserve">P90</t>
        </is>
      </c>
      <c r="C13" s="11">
        <v>0.7443393457902103</v>
      </c>
      <c r="D13" s="11">
        <v>1.15</v>
      </c>
      <c r="E13" s="23">
        <v>1</v>
      </c>
      <c r="F13" s="11">
        <v>0.085</v>
      </c>
      <c r="G13" s="11">
        <v>0</v>
      </c>
      <c r="H13" s="0">
        <v>90</v>
      </c>
      <c r="I13" s="23">
        <v>0</v>
      </c>
      <c r="J13" s="11">
        <v>1</v>
      </c>
      <c r="K13" s="11">
        <v>0.9</v>
      </c>
      <c r="L13" s="9">
        <v>358.73563182337347</v>
      </c>
      <c r="M13" s="13">
        <v>0</v>
      </c>
      <c r="N13" s="9">
        <v>229.13561997211752</v>
      </c>
      <c r="O13" s="9">
        <v>0</v>
      </c>
      <c r="P13" s="13">
        <v>0</v>
      </c>
      <c r="Q13" s="0" t="inlineStr">
        <is>
          <t xml:space="preserve">ZERO_RESIDUAL_NO_SALE</t>
        </is>
      </c>
      <c r="R13" s="0" t="inlineStr">
        <is>
          <t xml:space="preserve">P90 plus COD delay, DSO and common factor</t>
        </is>
      </c>
      <c r="S13" s="15" t="inlineStr">
        <is>
          <t xml:space="preserve">PASS</t>
        </is>
      </c>
      <c r="T13" s="16">
        <f>IF(M13="","",M13-1.20)</f>
        <v>-1.2</v>
      </c>
      <c r="U13" s="16" t="str">
        <f>IF(OR(M13="",M13&lt;1.20),"BREACH","PASS")</f>
        <v>BREACH</v>
      </c>
    </row>
    <row r="14">
      <c r="A14" s="0" t="inlineStr">
        <is>
          <t xml:space="preserve">PORTFOLIO_COMMON_FACTOR_DOWNSIDE</t>
        </is>
      </c>
      <c r="B14" s="0" t="inlineStr">
        <is>
          <t xml:space="preserve">P50</t>
        </is>
      </c>
      <c r="C14" s="11">
        <v>0.78</v>
      </c>
      <c r="D14" s="11">
        <v>1</v>
      </c>
      <c r="E14" s="23">
        <v>0</v>
      </c>
      <c r="F14" s="11">
        <v>0.085</v>
      </c>
      <c r="G14" s="11">
        <v>0</v>
      </c>
      <c r="H14" s="0">
        <v>30</v>
      </c>
      <c r="I14" s="23">
        <v>0</v>
      </c>
      <c r="J14" s="11">
        <v>1</v>
      </c>
      <c r="K14" s="11">
        <v>0.78</v>
      </c>
      <c r="L14" s="9">
        <v>375.9223456408496</v>
      </c>
      <c r="M14" s="13">
        <v>1.014</v>
      </c>
      <c r="N14" s="9">
        <v>229.13561997211752</v>
      </c>
      <c r="O14" s="9">
        <v>22.20259901164206</v>
      </c>
      <c r="P14" s="13">
        <v>1.014</v>
      </c>
      <c r="Q14" s="0" t="inlineStr">
        <is>
          <t xml:space="preserve">ZERO_RESIDUAL_NO_SALE</t>
        </is>
      </c>
      <c r="R14" s="0" t="inlineStr">
        <is>
          <t xml:space="preserve">common-factor downside, isolated from idiosyncratic events</t>
        </is>
      </c>
      <c r="S14" s="15" t="inlineStr">
        <is>
          <t xml:space="preserve">PASS</t>
        </is>
      </c>
      <c r="T14" s="16">
        <f>IF(M14="","",M14-1.20)</f>
        <v>-0.18599999999999994</v>
      </c>
      <c r="U14" s="16" t="str">
        <f>IF(OR(M14="",M14&lt;1.20),"BREACH","PASS")</f>
        <v>BREACH</v>
      </c>
    </row>
  </sheetData>
  <autoFilter ref="A1:U14"/>
  <pageMargins left="0.35" right="0.35" top="0.5" bottom="0.5" header="0.2" footer="0.2"/>
</worksheet>
</file>

<file path=xl/worksheets/sheet19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6.20" customWidth="1"/>
    <col min="3" max="3" width="11.70" customWidth="1"/>
    <col min="4" max="4" width="10.80" customWidth="1"/>
    <col min="5" max="5" width="18.00" customWidth="1"/>
    <col min="6" max="6" width="19.80" customWidth="1"/>
    <col min="7" max="7" width="23.40" customWidth="1"/>
    <col min="8" max="8" width="16.20" customWidth="1"/>
    <col min="9" max="9" width="17.10" customWidth="1"/>
    <col min="10" max="10" width="18.00" customWidth="1"/>
    <col min="11" max="11" width="17.10" customWidth="1"/>
    <col min="12" max="12" width="30.60" customWidth="1"/>
    <col min="13" max="13" width="24.00" customWidth="1"/>
    <col min="14" max="14" width="13.50" customWidth="1"/>
    <col min="15" max="15" width="13.50" customWidth="1"/>
    <col min="16" max="16" width="10.00" customWidth="1"/>
    <col min="17" max="17" width="22.5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eligible_shortlist</t>
        </is>
      </c>
      <c r="C1" s="4" t="inlineStr">
        <is>
          <t xml:space="preserve">selected_flag</t>
        </is>
      </c>
      <c r="D1" s="4" t="inlineStr">
        <is>
          <t xml:space="preserve">capacity_mwp</t>
        </is>
      </c>
      <c r="E1" s="4" t="inlineStr">
        <is>
          <t xml:space="preserve">standalone_debt_bvnd</t>
        </is>
      </c>
      <c r="F1" s="4" t="inlineStr">
        <is>
          <t xml:space="preserve">standalone_equity_bvnd</t>
        </is>
      </c>
      <c r="G1" s="4" t="inlineStr">
        <is>
          <t xml:space="preserve">pooled_allocated_debt_bvnd</t>
        </is>
      </c>
      <c r="H1" s="4" t="inlineStr">
        <is>
          <t xml:space="preserve">pooled_equity_bvnd</t>
        </is>
      </c>
      <c r="I1" s="4" t="inlineStr">
        <is>
          <t xml:space="preserve">equity_npv_bvnd</t>
        </is>
      </c>
      <c r="J1" s="4" t="inlineStr">
        <is>
          <t xml:space="preserve">value_density</t>
        </is>
      </c>
      <c r="K1" s="4" t="inlineStr">
        <is>
          <t xml:space="preserve">standalone_min_dscr</t>
        </is>
      </c>
      <c r="L1" s="4" t="inlineStr">
        <is>
          <t xml:space="preserve">selection_reason</t>
        </is>
      </c>
      <c r="M1" s="4" t="inlineStr">
        <is>
          <t xml:space="preserve">selection_method</t>
        </is>
      </c>
      <c r="N1" s="4" t="inlineStr">
        <is>
          <t xml:space="preserve">parent_group_id</t>
        </is>
      </c>
      <c r="O1" s="4" t="inlineStr">
        <is>
          <t xml:space="preserve">industry</t>
        </is>
      </c>
      <c r="P1" s="4" t="inlineStr">
        <is>
          <t xml:space="preserve">region</t>
        </is>
      </c>
      <c r="Q1" s="4" t="inlineStr">
        <is>
          <t xml:space="preserve">pooled_feedback_converged</t>
        </is>
      </c>
    </row>
    <row r="2">
      <c r="A2" s="0" t="inlineStr">
        <is>
          <t xml:space="preserve">VG-001</t>
        </is>
      </c>
      <c r="B2" s="0" t="b">
        <v>1</v>
      </c>
      <c r="C2" s="0" t="b">
        <v>0</v>
      </c>
      <c r="D2" s="0">
        <v>1.4</v>
      </c>
      <c r="E2" s="9">
        <v>14.531088671568387</v>
      </c>
      <c r="F2" s="9">
        <v>16.525432161764943</v>
      </c>
      <c r="G2" s="9">
        <v>0</v>
      </c>
      <c r="H2" s="9">
        <v>0</v>
      </c>
      <c r="I2" s="9">
        <v>-9.672364336222435</v>
      </c>
      <c r="J2" s="13">
        <f>IF(F2=0,"",I2/F2)</f>
        <v>-0.5853017483319728</v>
      </c>
      <c r="K2" s="13">
        <v>1.3</v>
      </c>
      <c r="L2" s="0" t="inlineStr">
        <is>
          <t xml:space="preserve">hard_gate_or_budget_or_concentration</t>
        </is>
      </c>
      <c r="M2" s="0" t="inlineStr">
        <is>
          <t xml:space="preserve">greedy_value_density_plus_pairwise_swap</t>
        </is>
      </c>
      <c r="N2" s="0" t="inlineStr">
        <is>
          <t xml:space="preserve">PG-01</t>
        </is>
      </c>
      <c r="O2" s="0" t="inlineStr">
        <is>
          <t xml:space="preserve">Electronics</t>
        </is>
      </c>
      <c r="P2" s="0" t="inlineStr">
        <is>
          <t xml:space="preserve">North</t>
        </is>
      </c>
      <c r="Q2" s="0" t="b">
        <v>1</v>
      </c>
    </row>
    <row r="3">
      <c r="A3" s="0" t="inlineStr">
        <is>
          <t xml:space="preserve">VG-002</t>
        </is>
      </c>
      <c r="B3" s="0" t="b">
        <v>1</v>
      </c>
      <c r="C3" s="0" t="b">
        <v>0</v>
      </c>
      <c r="D3" s="0">
        <v>1.5</v>
      </c>
      <c r="E3" s="9">
        <v>16.212560869138127</v>
      </c>
      <c r="F3" s="9">
        <v>17.062282880861872</v>
      </c>
      <c r="G3" s="9">
        <v>0</v>
      </c>
      <c r="H3" s="9">
        <v>0</v>
      </c>
      <c r="I3" s="9">
        <v>-9.414645294881696</v>
      </c>
      <c r="J3" s="13">
        <f>IF(F3=0,"",I3/F3)</f>
        <v>-0.5517811045930878</v>
      </c>
      <c r="K3" s="13">
        <v>1.3</v>
      </c>
      <c r="L3" s="0" t="inlineStr">
        <is>
          <t xml:space="preserve">hard_gate_or_budget_or_concentration</t>
        </is>
      </c>
      <c r="M3" s="0" t="inlineStr">
        <is>
          <t xml:space="preserve">greedy_value_density_plus_pairwise_swap</t>
        </is>
      </c>
      <c r="N3" s="0" t="inlineStr">
        <is>
          <t xml:space="preserve">PG-01</t>
        </is>
      </c>
      <c r="O3" s="0" t="inlineStr">
        <is>
          <t xml:space="preserve">Electronics</t>
        </is>
      </c>
      <c r="P3" s="0" t="inlineStr">
        <is>
          <t xml:space="preserve">North</t>
        </is>
      </c>
      <c r="Q3" s="0" t="b">
        <v>1</v>
      </c>
    </row>
    <row r="4">
      <c r="A4" s="0" t="inlineStr">
        <is>
          <t xml:space="preserve">VG-003</t>
        </is>
      </c>
      <c r="B4" s="0" t="b">
        <v>1</v>
      </c>
      <c r="C4" s="0" t="b">
        <v>1</v>
      </c>
      <c r="D4" s="0">
        <v>1.1</v>
      </c>
      <c r="E4" s="9">
        <v>11.619538533861874</v>
      </c>
      <c r="F4" s="9">
        <v>12.782013549471458</v>
      </c>
      <c r="G4" s="9">
        <v>11.61953853386187</v>
      </c>
      <c r="H4" s="9">
        <v>12.782013549471463</v>
      </c>
      <c r="I4" s="9">
        <v>-7.301582713021869</v>
      </c>
      <c r="J4" s="13">
        <f>IF(F4=0,"",I4/F4)</f>
        <v>-0.5712388494005151</v>
      </c>
      <c r="K4" s="13">
        <v>1.2999999999999998</v>
      </c>
      <c r="L4" s="0" t="inlineStr">
        <is>
          <t xml:space="preserve">selected_after_hard_gates_and_budget</t>
        </is>
      </c>
      <c r="M4" s="0" t="inlineStr">
        <is>
          <t xml:space="preserve">greedy_value_density_plus_pairwise_swap</t>
        </is>
      </c>
      <c r="N4" s="0" t="inlineStr">
        <is>
          <t xml:space="preserve">PG-02</t>
        </is>
      </c>
      <c r="O4" s="0" t="inlineStr">
        <is>
          <t xml:space="preserve">Logistics</t>
        </is>
      </c>
      <c r="P4" s="0" t="inlineStr">
        <is>
          <t xml:space="preserve">North</t>
        </is>
      </c>
      <c r="Q4" s="0" t="b">
        <v>1</v>
      </c>
    </row>
    <row r="5">
      <c r="A5" s="0" t="inlineStr">
        <is>
          <t xml:space="preserve">VG-004</t>
        </is>
      </c>
      <c r="B5" s="0" t="b">
        <v>1</v>
      </c>
      <c r="C5" s="0" t="b">
        <v>0</v>
      </c>
      <c r="D5" s="0">
        <v>1.45</v>
      </c>
      <c r="E5" s="9">
        <v>15.884561800116314</v>
      </c>
      <c r="F5" s="9">
        <v>16.281120491550354</v>
      </c>
      <c r="G5" s="9">
        <v>0</v>
      </c>
      <c r="H5" s="9">
        <v>0</v>
      </c>
      <c r="I5" s="9">
        <v>-8.787707934211015</v>
      </c>
      <c r="J5" s="13">
        <f>IF(F5=0,"",I5/F5)</f>
        <v>-0.5397483507828407</v>
      </c>
      <c r="K5" s="13">
        <v>1.2999999999999998</v>
      </c>
      <c r="L5" s="0" t="inlineStr">
        <is>
          <t xml:space="preserve">hard_gate_or_budget_or_concentration</t>
        </is>
      </c>
      <c r="M5" s="0" t="inlineStr">
        <is>
          <t xml:space="preserve">greedy_value_density_plus_pairwise_swap</t>
        </is>
      </c>
      <c r="N5" s="0" t="inlineStr">
        <is>
          <t xml:space="preserve">PG-03</t>
        </is>
      </c>
      <c r="O5" s="0" t="inlineStr">
        <is>
          <t xml:space="preserve">Materials</t>
        </is>
      </c>
      <c r="P5" s="0" t="inlineStr">
        <is>
          <t xml:space="preserve">North</t>
        </is>
      </c>
      <c r="Q5" s="0" t="b">
        <v>1</v>
      </c>
    </row>
    <row r="6">
      <c r="A6" s="0" t="inlineStr">
        <is>
          <t xml:space="preserve">VG-005</t>
        </is>
      </c>
      <c r="B6" s="0" t="b">
        <v>1</v>
      </c>
      <c r="C6" s="0" t="b">
        <v>1</v>
      </c>
      <c r="D6" s="0">
        <v>1.2</v>
      </c>
      <c r="E6" s="9">
        <v>15.087314246253625</v>
      </c>
      <c r="F6" s="9">
        <v>11.532560753746376</v>
      </c>
      <c r="G6" s="9">
        <v>15.08731424625362</v>
      </c>
      <c r="H6" s="9">
        <v>11.53256075374638</v>
      </c>
      <c r="I6" s="9">
        <v>-4.410773905851399</v>
      </c>
      <c r="J6" s="13">
        <f>IF(F6=0,"",I6/F6)</f>
        <v>-0.38246266375995897</v>
      </c>
      <c r="K6" s="13">
        <v>1.2999999999999998</v>
      </c>
      <c r="L6" s="0" t="inlineStr">
        <is>
          <t xml:space="preserve">selected_after_hard_gates_and_budget</t>
        </is>
      </c>
      <c r="M6" s="0" t="inlineStr">
        <is>
          <t xml:space="preserve">greedy_value_density_plus_pairwise_swap</t>
        </is>
      </c>
      <c r="N6" s="0" t="inlineStr">
        <is>
          <t xml:space="preserve">PG-04</t>
        </is>
      </c>
      <c r="O6" s="0" t="inlineStr">
        <is>
          <t xml:space="preserve">Food &amp; Beverage</t>
        </is>
      </c>
      <c r="P6" s="0" t="inlineStr">
        <is>
          <t xml:space="preserve">Central</t>
        </is>
      </c>
      <c r="Q6" s="0" t="b">
        <v>1</v>
      </c>
    </row>
    <row r="7">
      <c r="A7" s="0" t="inlineStr">
        <is>
          <t xml:space="preserve">VG-006</t>
        </is>
      </c>
      <c r="B7" s="0" t="b">
        <v>0</v>
      </c>
      <c r="C7" s="0" t="b">
        <v>0</v>
      </c>
      <c r="D7" s="0">
        <v>1.2</v>
      </c>
      <c r="E7" s="9">
        <v>14.097771188760206</v>
      </c>
      <c r="F7" s="9">
        <v>12.522103811239793</v>
      </c>
      <c r="G7" s="9">
        <v>0</v>
      </c>
      <c r="H7" s="9">
        <v>0</v>
      </c>
      <c r="I7" s="9">
        <v>-5.86940379484504</v>
      </c>
      <c r="J7" s="13">
        <f>IF(F7=0,"",I7/F7)</f>
        <v>-0.4687234576011648</v>
      </c>
      <c r="K7" s="13">
        <v>1.2999999999999998</v>
      </c>
      <c r="L7" s="0" t="inlineStr">
        <is>
          <t xml:space="preserve">hard_gate_or_budget_or_concentration</t>
        </is>
      </c>
      <c r="M7" s="0" t="inlineStr">
        <is>
          <t xml:space="preserve">greedy_value_density_plus_pairwise_swap</t>
        </is>
      </c>
      <c r="N7" s="0" t="inlineStr">
        <is>
          <t xml:space="preserve">PG-05</t>
        </is>
      </c>
      <c r="O7" s="0" t="inlineStr">
        <is>
          <t xml:space="preserve">Textile</t>
        </is>
      </c>
      <c r="P7" s="0" t="inlineStr">
        <is>
          <t xml:space="preserve">Central</t>
        </is>
      </c>
      <c r="Q7" s="0" t="b">
        <v>1</v>
      </c>
    </row>
    <row r="8">
      <c r="A8" s="0" t="inlineStr">
        <is>
          <t xml:space="preserve">VG-007</t>
        </is>
      </c>
      <c r="B8" s="0" t="b">
        <v>1</v>
      </c>
      <c r="C8" s="0" t="b">
        <v>1</v>
      </c>
      <c r="D8" s="0">
        <v>1.3</v>
      </c>
      <c r="E8" s="9">
        <v>15.629920447473957</v>
      </c>
      <c r="F8" s="9">
        <v>13.20827746919271</v>
      </c>
      <c r="G8" s="9">
        <v>15.629920447473955</v>
      </c>
      <c r="H8" s="9">
        <v>13.208277469192712</v>
      </c>
      <c r="I8" s="9">
        <v>-5.831793317834425</v>
      </c>
      <c r="J8" s="13">
        <f>IF(F8=0,"",I8/F8)</f>
        <v>-0.44152565173139596</v>
      </c>
      <c r="K8" s="13">
        <v>1.2999999999999998</v>
      </c>
      <c r="L8" s="0" t="inlineStr">
        <is>
          <t xml:space="preserve">selected_after_hard_gates_and_budget</t>
        </is>
      </c>
      <c r="M8" s="0" t="inlineStr">
        <is>
          <t xml:space="preserve">greedy_value_density_plus_pairwise_swap</t>
        </is>
      </c>
      <c r="N8" s="0" t="inlineStr">
        <is>
          <t xml:space="preserve">PG-06</t>
        </is>
      </c>
      <c r="O8" s="0" t="inlineStr">
        <is>
          <t xml:space="preserve">Packaging</t>
        </is>
      </c>
      <c r="P8" s="0" t="inlineStr">
        <is>
          <t xml:space="preserve">Central</t>
        </is>
      </c>
      <c r="Q8" s="0" t="b">
        <v>1</v>
      </c>
    </row>
    <row r="9">
      <c r="A9" s="0" t="inlineStr">
        <is>
          <t xml:space="preserve">VG-008</t>
        </is>
      </c>
      <c r="B9" s="0" t="b">
        <v>1</v>
      </c>
      <c r="C9" s="0" t="b">
        <v>1</v>
      </c>
      <c r="D9" s="0">
        <v>1.3</v>
      </c>
      <c r="E9" s="9">
        <v>15.542471128986671</v>
      </c>
      <c r="F9" s="9">
        <v>13.295726787679996</v>
      </c>
      <c r="G9" s="9">
        <v>15.542471128986667</v>
      </c>
      <c r="H9" s="9">
        <v>13.29572678768</v>
      </c>
      <c r="I9" s="9">
        <v>-5.960697450657899</v>
      </c>
      <c r="J9" s="13">
        <f>IF(F9=0,"",I9/F9)</f>
        <v>-0.4483167822146559</v>
      </c>
      <c r="K9" s="13">
        <v>1.3</v>
      </c>
      <c r="L9" s="0" t="inlineStr">
        <is>
          <t xml:space="preserve">selected_after_hard_gates_and_budget</t>
        </is>
      </c>
      <c r="M9" s="0" t="inlineStr">
        <is>
          <t xml:space="preserve">greedy_value_density_plus_pairwise_swap</t>
        </is>
      </c>
      <c r="N9" s="0" t="inlineStr">
        <is>
          <t xml:space="preserve">PG-07</t>
        </is>
      </c>
      <c r="O9" s="0" t="inlineStr">
        <is>
          <t xml:space="preserve">Hospitality</t>
        </is>
      </c>
      <c r="P9" s="0" t="inlineStr">
        <is>
          <t xml:space="preserve">South</t>
        </is>
      </c>
      <c r="Q9" s="0" t="b">
        <v>1</v>
      </c>
    </row>
    <row r="10">
      <c r="A10" s="0" t="inlineStr">
        <is>
          <t xml:space="preserve">VG-009</t>
        </is>
      </c>
      <c r="B10" s="0" t="b">
        <v>0</v>
      </c>
      <c r="C10" s="0" t="b">
        <v>0</v>
      </c>
      <c r="D10" s="0">
        <v>1.3</v>
      </c>
      <c r="E10" s="9">
        <v>15.918768196416805</v>
      </c>
      <c r="F10" s="9">
        <v>12.919429720249862</v>
      </c>
      <c r="G10" s="9">
        <v>0</v>
      </c>
      <c r="H10" s="9">
        <v>0</v>
      </c>
      <c r="I10" s="9">
        <v>-5.406019060932651</v>
      </c>
      <c r="J10" s="13">
        <f>IF(F10=0,"",I10/F10)</f>
        <v>-0.4184409976285004</v>
      </c>
      <c r="K10" s="13">
        <v>1.3</v>
      </c>
      <c r="L10" s="0" t="inlineStr">
        <is>
          <t xml:space="preserve">hard_gate_or_budget_or_concentration</t>
        </is>
      </c>
      <c r="M10" s="0" t="inlineStr">
        <is>
          <t xml:space="preserve">greedy_value_density_plus_pairwise_swap</t>
        </is>
      </c>
      <c r="N10" s="0" t="inlineStr">
        <is>
          <t xml:space="preserve">PG-08</t>
        </is>
      </c>
      <c r="O10" s="0" t="inlineStr">
        <is>
          <t xml:space="preserve">Automotive</t>
        </is>
      </c>
      <c r="P10" s="0" t="inlineStr">
        <is>
          <t xml:space="preserve">South</t>
        </is>
      </c>
      <c r="Q10" s="0" t="b">
        <v>1</v>
      </c>
    </row>
    <row r="11">
      <c r="A11" s="0" t="inlineStr">
        <is>
          <t xml:space="preserve">VG-010</t>
        </is>
      </c>
      <c r="B11" s="0" t="b">
        <v>1</v>
      </c>
      <c r="C11" s="0" t="b">
        <v>1</v>
      </c>
      <c r="D11" s="0">
        <v>1.3</v>
      </c>
      <c r="E11" s="9">
        <v>15.320873967055595</v>
      </c>
      <c r="F11" s="9">
        <v>13.517323949611072</v>
      </c>
      <c r="G11" s="9">
        <v>15.320873967055594</v>
      </c>
      <c r="H11" s="9">
        <v>13.517323949611075</v>
      </c>
      <c r="I11" s="9">
        <v>-6.287341391273876</v>
      </c>
      <c r="J11" s="13">
        <f>IF(F11=0,"",I11/F11)</f>
        <v>-0.4651321085971886</v>
      </c>
      <c r="K11" s="13">
        <v>1.3</v>
      </c>
      <c r="L11" s="0" t="inlineStr">
        <is>
          <t xml:space="preserve">selected_after_hard_gates_and_budget</t>
        </is>
      </c>
      <c r="M11" s="0" t="inlineStr">
        <is>
          <t xml:space="preserve">greedy_value_density_plus_pairwise_swap</t>
        </is>
      </c>
      <c r="N11" s="0" t="inlineStr">
        <is>
          <t xml:space="preserve">PG-09</t>
        </is>
      </c>
      <c r="O11" s="0" t="inlineStr">
        <is>
          <t xml:space="preserve">Pharma</t>
        </is>
      </c>
      <c r="P11" s="0" t="inlineStr">
        <is>
          <t xml:space="preserve">South</t>
        </is>
      </c>
      <c r="Q11" s="0" t="b">
        <v>1</v>
      </c>
    </row>
    <row r="12">
      <c r="A12" s="0" t="inlineStr">
        <is>
          <t xml:space="preserve">VG-011</t>
        </is>
      </c>
      <c r="B12" s="0" t="b">
        <v>1</v>
      </c>
      <c r="C12" s="0" t="b">
        <v>1</v>
      </c>
      <c r="D12" s="0">
        <v>1.2</v>
      </c>
      <c r="E12" s="9">
        <v>14.30058294153476</v>
      </c>
      <c r="F12" s="9">
        <v>12.31929205846524</v>
      </c>
      <c r="G12" s="9">
        <v>14.300582941534758</v>
      </c>
      <c r="H12" s="9">
        <v>12.319292058465242</v>
      </c>
      <c r="I12" s="9">
        <v>-5.570450371650394</v>
      </c>
      <c r="J12" s="13">
        <f>IF(F12=0,"",I12/F12)</f>
        <v>-0.4521729288675027</v>
      </c>
      <c r="K12" s="13">
        <v>1.3</v>
      </c>
      <c r="L12" s="0" t="inlineStr">
        <is>
          <t xml:space="preserve">selected_after_hard_gates_and_budget</t>
        </is>
      </c>
      <c r="M12" s="0" t="inlineStr">
        <is>
          <t xml:space="preserve">greedy_value_density_plus_pairwise_swap</t>
        </is>
      </c>
      <c r="N12" s="0" t="inlineStr">
        <is>
          <t xml:space="preserve">PG-10</t>
        </is>
      </c>
      <c r="O12" s="0" t="inlineStr">
        <is>
          <t xml:space="preserve">Plastics</t>
        </is>
      </c>
      <c r="P12" s="0" t="inlineStr">
        <is>
          <t xml:space="preserve">South</t>
        </is>
      </c>
      <c r="Q12" s="0" t="b">
        <v>1</v>
      </c>
    </row>
    <row r="13">
      <c r="A13" s="0" t="inlineStr">
        <is>
          <t xml:space="preserve">VG-012</t>
        </is>
      </c>
      <c r="B13" s="0" t="b">
        <v>1</v>
      </c>
      <c r="C13" s="0" t="b">
        <v>1</v>
      </c>
      <c r="D13" s="0">
        <v>1.15</v>
      </c>
      <c r="E13" s="9">
        <v>13.249791813090528</v>
      </c>
      <c r="F13" s="9">
        <v>12.26092172857614</v>
      </c>
      <c r="G13" s="9">
        <v>13.249791813090525</v>
      </c>
      <c r="H13" s="9">
        <v>12.260921728576143</v>
      </c>
      <c r="I13" s="9">
        <v>-6.0089402234866505</v>
      </c>
      <c r="J13" s="13">
        <f>IF(F13=0,"",I13/F13)</f>
        <v>-0.49008878422915014</v>
      </c>
      <c r="K13" s="13">
        <v>1.2999999999999998</v>
      </c>
      <c r="L13" s="0" t="inlineStr">
        <is>
          <t xml:space="preserve">selected_after_hard_gates_and_budget</t>
        </is>
      </c>
      <c r="M13" s="0" t="inlineStr">
        <is>
          <t xml:space="preserve">greedy_value_density_plus_pairwise_swap</t>
        </is>
      </c>
      <c r="N13" s="0" t="inlineStr">
        <is>
          <t xml:space="preserve">PG-04</t>
        </is>
      </c>
      <c r="O13" s="0" t="inlineStr">
        <is>
          <t xml:space="preserve">Food &amp; Beverage</t>
        </is>
      </c>
      <c r="P13" s="0" t="inlineStr">
        <is>
          <t xml:space="preserve">South</t>
        </is>
      </c>
      <c r="Q13" s="0" t="b">
        <v>1</v>
      </c>
    </row>
    <row r="14">
      <c r="A14" s="0" t="inlineStr">
        <is>
          <t xml:space="preserve">VG-013</t>
        </is>
      </c>
      <c r="B14" s="0" t="b">
        <v>1</v>
      </c>
      <c r="C14" s="0" t="b">
        <v>1</v>
      </c>
      <c r="D14" s="0">
        <v>1.05</v>
      </c>
      <c r="E14" s="9">
        <v>12.028406991492181</v>
      </c>
      <c r="F14" s="9">
        <v>11.263983633507818</v>
      </c>
      <c r="G14" s="9">
        <v>12.028406991492178</v>
      </c>
      <c r="H14" s="9">
        <v>11.263983633507822</v>
      </c>
      <c r="I14" s="9">
        <v>-5.588470283500528</v>
      </c>
      <c r="J14" s="13">
        <f>IF(F14=0,"",I14/F14)</f>
        <v>-0.4961362219025324</v>
      </c>
      <c r="K14" s="13">
        <v>1.3</v>
      </c>
      <c r="L14" s="0" t="inlineStr">
        <is>
          <t xml:space="preserve">selected_after_hard_gates_and_budget</t>
        </is>
      </c>
      <c r="M14" s="0" t="inlineStr">
        <is>
          <t xml:space="preserve">greedy_value_density_plus_pairwise_swap</t>
        </is>
      </c>
      <c r="N14" s="0" t="inlineStr">
        <is>
          <t xml:space="preserve">PG-11</t>
        </is>
      </c>
      <c r="O14" s="0" t="inlineStr">
        <is>
          <t xml:space="preserve">Agribusiness</t>
        </is>
      </c>
      <c r="P14" s="0" t="inlineStr">
        <is>
          <t xml:space="preserve">South</t>
        </is>
      </c>
      <c r="Q14" s="0" t="b">
        <v>1</v>
      </c>
    </row>
    <row r="15">
      <c r="A15" s="0" t="inlineStr">
        <is>
          <t xml:space="preserve">VG-014</t>
        </is>
      </c>
      <c r="B15" s="0" t="b">
        <v>1</v>
      </c>
      <c r="C15" s="0" t="b">
        <v>1</v>
      </c>
      <c r="D15" s="0">
        <v>1.25</v>
      </c>
      <c r="E15" s="9">
        <v>14.154701152337385</v>
      </c>
      <c r="F15" s="9">
        <v>13.574335305995946</v>
      </c>
      <c r="G15" s="9">
        <v>14.154701152337381</v>
      </c>
      <c r="H15" s="9">
        <v>13.57433530599595</v>
      </c>
      <c r="I15" s="9">
        <v>-6.89590891175451</v>
      </c>
      <c r="J15" s="13">
        <f>IF(F15=0,"",I15/F15)</f>
        <v>-0.5080107980468483</v>
      </c>
      <c r="K15" s="13">
        <v>1.2999999999999998</v>
      </c>
      <c r="L15" s="0" t="inlineStr">
        <is>
          <t xml:space="preserve">selected_after_hard_gates_and_budget</t>
        </is>
      </c>
      <c r="M15" s="0" t="inlineStr">
        <is>
          <t xml:space="preserve">greedy_value_density_plus_pairwise_swap</t>
        </is>
      </c>
      <c r="N15" s="0" t="inlineStr">
        <is>
          <t xml:space="preserve">PG-12</t>
        </is>
      </c>
      <c r="O15" s="0" t="inlineStr">
        <is>
          <t xml:space="preserve">Chemicals</t>
        </is>
      </c>
      <c r="P15" s="0" t="inlineStr">
        <is>
          <t xml:space="preserve">South</t>
        </is>
      </c>
      <c r="Q15" s="0" t="b">
        <v>1</v>
      </c>
    </row>
    <row r="16">
      <c r="A16" s="0" t="inlineStr">
        <is>
          <t xml:space="preserve">VG-015</t>
        </is>
      </c>
      <c r="B16" s="0" t="b">
        <v>1</v>
      </c>
      <c r="C16" s="0" t="b">
        <v>1</v>
      </c>
      <c r="D16" s="0">
        <v>1.2</v>
      </c>
      <c r="E16" s="9">
        <v>13.667631976831762</v>
      </c>
      <c r="F16" s="9">
        <v>12.952243023168238</v>
      </c>
      <c r="G16" s="9">
        <v>13.66763197683176</v>
      </c>
      <c r="H16" s="9">
        <v>12.95224302316824</v>
      </c>
      <c r="I16" s="9">
        <v>-6.503447868213896</v>
      </c>
      <c r="J16" s="13">
        <f>IF(F16=0,"",I16/F16)</f>
        <v>-0.5021097779420056</v>
      </c>
      <c r="K16" s="13">
        <v>1.3</v>
      </c>
      <c r="L16" s="0" t="inlineStr">
        <is>
          <t xml:space="preserve">selected_after_hard_gates_and_budget</t>
        </is>
      </c>
      <c r="M16" s="0" t="inlineStr">
        <is>
          <t xml:space="preserve">greedy_value_density_plus_pairwise_swap</t>
        </is>
      </c>
      <c r="N16" s="0" t="inlineStr">
        <is>
          <t xml:space="preserve">PG-01</t>
        </is>
      </c>
      <c r="O16" s="0" t="inlineStr">
        <is>
          <t xml:space="preserve">Electronics</t>
        </is>
      </c>
      <c r="P16" s="0" t="inlineStr">
        <is>
          <t xml:space="preserve">South</t>
        </is>
      </c>
      <c r="Q16" s="0" t="b">
        <v>1</v>
      </c>
    </row>
    <row r="17">
      <c r="A17" s="0" t="inlineStr">
        <is>
          <t xml:space="preserve">VG-016</t>
        </is>
      </c>
      <c r="B17" s="0" t="b">
        <v>0</v>
      </c>
      <c r="C17" s="0" t="b">
        <v>0</v>
      </c>
      <c r="D17" s="0">
        <v>1</v>
      </c>
      <c r="E17" s="9">
        <v>10.261229218782947</v>
      </c>
      <c r="F17" s="9">
        <v>11.92199994788372</v>
      </c>
      <c r="G17" s="9">
        <v>0</v>
      </c>
      <c r="H17" s="9">
        <v>0</v>
      </c>
      <c r="I17" s="9">
        <v>-9.444186190980318</v>
      </c>
      <c r="J17" s="13">
        <f>IF(F17=0,"",I17/F17)</f>
        <v>-0.792164589185119</v>
      </c>
      <c r="K17" s="13">
        <v>1.3</v>
      </c>
      <c r="L17" s="0" t="inlineStr">
        <is>
          <t xml:space="preserve">hard_gate_or_budget_or_concentration</t>
        </is>
      </c>
      <c r="M17" s="0" t="inlineStr">
        <is>
          <t xml:space="preserve">greedy_value_density_plus_pairwise_swap</t>
        </is>
      </c>
      <c r="N17" s="0" t="inlineStr">
        <is>
          <t xml:space="preserve">PG-13</t>
        </is>
      </c>
      <c r="O17" s="0" t="inlineStr">
        <is>
          <t xml:space="preserve">Rubber</t>
        </is>
      </c>
      <c r="P17" s="0" t="inlineStr">
        <is>
          <t xml:space="preserve">South</t>
        </is>
      </c>
      <c r="Q17" s="0" t="b">
        <v>1</v>
      </c>
    </row>
    <row r="18">
      <c r="A18" s="0" t="inlineStr">
        <is>
          <t xml:space="preserve">VG-017</t>
        </is>
      </c>
      <c r="B18" s="0" t="b">
        <v>0</v>
      </c>
      <c r="C18" s="0" t="b">
        <v>0</v>
      </c>
      <c r="D18" s="0">
        <v>1.2</v>
      </c>
      <c r="E18" s="9">
        <v>13.468734039709787</v>
      </c>
      <c r="F18" s="9">
        <v>13.151140960290213</v>
      </c>
      <c r="G18" s="9">
        <v>0</v>
      </c>
      <c r="H18" s="9">
        <v>0</v>
      </c>
      <c r="I18" s="9">
        <v>-6.796632155394064</v>
      </c>
      <c r="J18" s="13">
        <f>IF(F18=0,"",I18/F18)</f>
        <v>-0.5168093153222563</v>
      </c>
      <c r="K18" s="13">
        <v>1.2999999999999998</v>
      </c>
      <c r="L18" s="0" t="inlineStr">
        <is>
          <t xml:space="preserve">hard_gate_or_budget_or_concentration</t>
        </is>
      </c>
      <c r="M18" s="0" t="inlineStr">
        <is>
          <t xml:space="preserve">greedy_value_density_plus_pairwise_swap</t>
        </is>
      </c>
      <c r="N18" s="0" t="inlineStr">
        <is>
          <t xml:space="preserve">PG-14</t>
        </is>
      </c>
      <c r="O18" s="0" t="inlineStr">
        <is>
          <t xml:space="preserve">Steel</t>
        </is>
      </c>
      <c r="P18" s="0" t="inlineStr">
        <is>
          <t xml:space="preserve">North</t>
        </is>
      </c>
      <c r="Q18" s="0" t="b">
        <v>1</v>
      </c>
    </row>
    <row r="19">
      <c r="A19" s="0" t="inlineStr">
        <is>
          <t xml:space="preserve">VG-018</t>
        </is>
      </c>
      <c r="B19" s="0" t="b">
        <v>1</v>
      </c>
      <c r="C19" s="0" t="b">
        <v>0</v>
      </c>
      <c r="D19" s="0">
        <v>1.15</v>
      </c>
      <c r="E19" s="9">
        <v>12.077216720469535</v>
      </c>
      <c r="F19" s="9">
        <v>13.433496821197133</v>
      </c>
      <c r="G19" s="9">
        <v>0</v>
      </c>
      <c r="H19" s="9">
        <v>0</v>
      </c>
      <c r="I19" s="9">
        <v>-7.7373673639073175</v>
      </c>
      <c r="J19" s="13">
        <f>IF(F19=0,"",I19/F19)</f>
        <v>-0.5759756723728318</v>
      </c>
      <c r="K19" s="13">
        <v>1.3</v>
      </c>
      <c r="L19" s="0" t="inlineStr">
        <is>
          <t xml:space="preserve">hard_gate_or_budget_or_concentration</t>
        </is>
      </c>
      <c r="M19" s="0" t="inlineStr">
        <is>
          <t xml:space="preserve">greedy_value_density_plus_pairwise_swap</t>
        </is>
      </c>
      <c r="N19" s="0" t="inlineStr">
        <is>
          <t xml:space="preserve">PG-15</t>
        </is>
      </c>
      <c r="O19" s="0" t="inlineStr">
        <is>
          <t xml:space="preserve">Machinery</t>
        </is>
      </c>
      <c r="P19" s="0" t="inlineStr">
        <is>
          <t xml:space="preserve">North</t>
        </is>
      </c>
      <c r="Q19" s="0" t="b">
        <v>1</v>
      </c>
    </row>
    <row r="20">
      <c r="A20" s="0" t="inlineStr">
        <is>
          <t xml:space="preserve">VG-019</t>
        </is>
      </c>
      <c r="B20" s="0" t="b">
        <v>1</v>
      </c>
      <c r="C20" s="0" t="b">
        <v>1</v>
      </c>
      <c r="D20" s="0">
        <v>1.05</v>
      </c>
      <c r="E20" s="9">
        <v>11.85577442660118</v>
      </c>
      <c r="F20" s="9">
        <v>11.436616198398822</v>
      </c>
      <c r="G20" s="9">
        <v>11.855774426601176</v>
      </c>
      <c r="H20" s="9">
        <v>11.436616198398825</v>
      </c>
      <c r="I20" s="9">
        <v>-5.8429382594585375</v>
      </c>
      <c r="J20" s="13">
        <f>IF(F20=0,"",I20/F20)</f>
        <v>-0.510897468105695</v>
      </c>
      <c r="K20" s="13">
        <v>1.2999999999999998</v>
      </c>
      <c r="L20" s="0" t="inlineStr">
        <is>
          <t xml:space="preserve">selected_after_hard_gates_and_budget</t>
        </is>
      </c>
      <c r="M20" s="0" t="inlineStr">
        <is>
          <t xml:space="preserve">greedy_value_density_plus_pairwise_swap</t>
        </is>
      </c>
      <c r="N20" s="0" t="inlineStr">
        <is>
          <t xml:space="preserve">PG-16</t>
        </is>
      </c>
      <c r="O20" s="0" t="inlineStr">
        <is>
          <t xml:space="preserve">Retail</t>
        </is>
      </c>
      <c r="P20" s="0" t="inlineStr">
        <is>
          <t xml:space="preserve">North</t>
        </is>
      </c>
      <c r="Q20" s="0" t="b">
        <v>1</v>
      </c>
    </row>
    <row r="21">
      <c r="A21" s="0" t="inlineStr">
        <is>
          <t xml:space="preserve">VG-020</t>
        </is>
      </c>
      <c r="B21" s="0" t="b">
        <v>0</v>
      </c>
      <c r="C21" s="0" t="b">
        <v>0</v>
      </c>
      <c r="D21" s="0">
        <v>1.05</v>
      </c>
      <c r="E21" s="9">
        <v>11.95917797972779</v>
      </c>
      <c r="F21" s="9">
        <v>11.333212645272209</v>
      </c>
      <c r="G21" s="9">
        <v>0</v>
      </c>
      <c r="H21" s="9">
        <v>0</v>
      </c>
      <c r="I21" s="9">
        <v>-5.69051688468716</v>
      </c>
      <c r="J21" s="13">
        <f>IF(F21=0,"",I21/F21)</f>
        <v>-0.5021097779420056</v>
      </c>
      <c r="K21" s="13">
        <v>1.3</v>
      </c>
      <c r="L21" s="0" t="inlineStr">
        <is>
          <t xml:space="preserve">hard_gate_or_budget_or_concentration</t>
        </is>
      </c>
      <c r="M21" s="0" t="inlineStr">
        <is>
          <t xml:space="preserve">greedy_value_density_plus_pairwise_swap</t>
        </is>
      </c>
      <c r="N21" s="0" t="inlineStr">
        <is>
          <t xml:space="preserve">PG-17</t>
        </is>
      </c>
      <c r="O21" s="0" t="inlineStr">
        <is>
          <t xml:space="preserve">Food &amp; Beverage</t>
        </is>
      </c>
      <c r="P21" s="0" t="inlineStr">
        <is>
          <t xml:space="preserve">South</t>
        </is>
      </c>
      <c r="Q21" s="0" t="b">
        <v>1</v>
      </c>
    </row>
  </sheetData>
  <autoFilter ref="A1:Q21"/>
  <pageMargins left="0.35" right="0.35" top="0.5" bottom="0.5" header="0.2" footer="0.2"/>
</worksheet>
</file>

<file path=xl/worksheets/sheet20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0.00" customWidth="1"/>
    <col min="2" max="2" width="12.60" customWidth="1"/>
    <col min="3" max="3" width="11.70" customWidth="1"/>
    <col min="4" max="4" width="24.00" customWidth="1"/>
    <col min="5" max="5" width="19.80" customWidth="1"/>
    <col min="6" max="6" width="38.00" customWidth="1"/>
    <col min="7" max="7" width="38.00" customWidth="1"/>
    <col min="8" max="8" width="28.05" customWidth="1"/>
    <col min="9" max="9" width="18.70" customWidth="1"/>
    <col min="10" max="10" width="24.00" customWidth="1"/>
    <col min="11" max="11" width="14.00" customWidth="1"/>
  </cols>
  <sheetData>
    <row r="1" ht="30" customHeight="1">
      <c r="A1" s="4" t="inlineStr">
        <is>
          <t xml:space="preserve">project_id</t>
        </is>
      </c>
      <c r="B1" s="4" t="inlineStr">
        <is>
          <t xml:space="preserve">sponsor_status</t>
        </is>
      </c>
      <c r="C1" s="4" t="inlineStr">
        <is>
          <t xml:space="preserve">lender_status</t>
        </is>
      </c>
      <c r="D1" s="4" t="inlineStr">
        <is>
          <t xml:space="preserve">binding_issue</t>
        </is>
      </c>
      <c r="E1" s="4" t="inlineStr">
        <is>
          <t xml:space="preserve">recommended_action</t>
        </is>
      </c>
      <c r="F1" s="4" t="inlineStr">
        <is>
          <t xml:space="preserve">condition_1</t>
        </is>
      </c>
      <c r="G1" s="4" t="inlineStr">
        <is>
          <t xml:space="preserve">condition_2</t>
        </is>
      </c>
      <c r="H1" s="4" t="inlineStr">
        <is>
          <t xml:space="preserve">condition_3</t>
        </is>
      </c>
      <c r="I1" s="4" t="inlineStr">
        <is>
          <t xml:space="preserve">final_classification</t>
        </is>
      </c>
      <c r="J1" s="4" t="inlineStr">
        <is>
          <t xml:space="preserve">Formula Decision</t>
        </is>
      </c>
      <c r="K1" s="4" t="inlineStr">
        <is>
          <t xml:space="preserve">Formula Check</t>
        </is>
      </c>
    </row>
    <row r="2">
      <c r="A2" s="0" t="inlineStr">
        <is>
          <t xml:space="preserve">VG-001</t>
        </is>
      </c>
      <c r="B2" s="17" t="inlineStr">
        <is>
          <t xml:space="preserve">CONDITIONAL</t>
        </is>
      </c>
      <c r="C2" s="15" t="inlineStr">
        <is>
          <t xml:space="preserve">PASS</t>
        </is>
      </c>
      <c r="D2" s="0" t="inlineStr">
        <is>
          <t xml:space="preserve">billed_tariff_confirmation</t>
        </is>
      </c>
      <c r="E2" s="0" t="inlineStr">
        <is>
          <t xml:space="preserve">INVEST_WITH_CONDITIONS</t>
        </is>
      </c>
      <c r="F2" s="0" t="inlineStr">
        <is>
          <t xml:space="preserve">confirm billed tariff and final legal applicability</t>
        </is>
      </c>
      <c r="G2" s="0" t="inlineStr">
        <is>
          <t xml:space="preserve">complete lender/legal/technical/site diligence</t>
        </is>
      </c>
      <c r="H2" s="0" t="inlineStr">
        <is>
          <t xml:space="preserve">re-run P90, debt and portfolio QA</t>
        </is>
      </c>
      <c r="I2" s="0" t="inlineStr">
        <is>
          <t xml:space="preserve">INVEST_WITH_CONDITIONS</t>
        </is>
      </c>
      <c r="J2" s="15" t="str">
        <f>IF(OR(B2="FAIL",C2="FAIL"),"REJECT",IF(OR(B2="CONDITIONAL",C2="CONDITIONAL"),"INVEST_WITH_CONDITIONS","PASS"))</f>
        <v>INVEST_WITH_CONDITIONS</v>
      </c>
      <c r="K2" s="15" t="str">
        <f>IF(J2=I2,"MATCH","REVIEW")</f>
        <v>MATCH</v>
      </c>
    </row>
    <row r="3">
      <c r="A3" s="0" t="inlineStr">
        <is>
          <t xml:space="preserve">VG-002</t>
        </is>
      </c>
      <c r="B3" s="17" t="inlineStr">
        <is>
          <t xml:space="preserve">CONDITIONAL</t>
        </is>
      </c>
      <c r="C3" s="15" t="inlineStr">
        <is>
          <t xml:space="preserve">PASS</t>
        </is>
      </c>
      <c r="D3" s="0" t="inlineStr">
        <is>
          <t xml:space="preserve">billed_tariff_confirmation</t>
        </is>
      </c>
      <c r="E3" s="0" t="inlineStr">
        <is>
          <t xml:space="preserve">INVEST_WITH_CONDITIONS</t>
        </is>
      </c>
      <c r="F3" s="0" t="inlineStr">
        <is>
          <t xml:space="preserve">confirm billed tariff and final legal applicability</t>
        </is>
      </c>
      <c r="G3" s="0" t="inlineStr">
        <is>
          <t xml:space="preserve">complete lender/legal/technical/site diligence</t>
        </is>
      </c>
      <c r="H3" s="0" t="inlineStr">
        <is>
          <t xml:space="preserve">re-run P90, debt and portfolio QA</t>
        </is>
      </c>
      <c r="I3" s="0" t="inlineStr">
        <is>
          <t xml:space="preserve">INVEST_WITH_CONDITIONS</t>
        </is>
      </c>
      <c r="J3" s="15" t="str">
        <f>IF(OR(B3="FAIL",C3="FAIL"),"REJECT",IF(OR(B3="CONDITIONAL",C3="CONDITIONAL"),"INVEST_WITH_CONDITIONS","PASS"))</f>
        <v>INVEST_WITH_CONDITIONS</v>
      </c>
      <c r="K3" s="15" t="str">
        <f>IF(J3=I3,"MATCH","REVIEW")</f>
        <v>MATCH</v>
      </c>
    </row>
    <row r="4">
      <c r="A4" s="0" t="inlineStr">
        <is>
          <t xml:space="preserve">VG-003</t>
        </is>
      </c>
      <c r="B4" s="17" t="inlineStr">
        <is>
          <t xml:space="preserve">CONDITIONAL</t>
        </is>
      </c>
      <c r="C4" s="15" t="inlineStr">
        <is>
          <t xml:space="preserve">PASS</t>
        </is>
      </c>
      <c r="D4" s="0" t="inlineStr">
        <is>
          <t xml:space="preserve">billed_tariff_confirmation</t>
        </is>
      </c>
      <c r="E4" s="0" t="inlineStr">
        <is>
          <t xml:space="preserve">INVEST_WITH_CONDITIONS</t>
        </is>
      </c>
      <c r="F4" s="0" t="inlineStr">
        <is>
          <t xml:space="preserve">confirm billed tariff and final legal applicability</t>
        </is>
      </c>
      <c r="G4" s="0" t="inlineStr">
        <is>
          <t xml:space="preserve">complete lender/legal/technical/site diligence</t>
        </is>
      </c>
      <c r="H4" s="0" t="inlineStr">
        <is>
          <t xml:space="preserve">re-run P90, debt and portfolio QA</t>
        </is>
      </c>
      <c r="I4" s="0" t="inlineStr">
        <is>
          <t xml:space="preserve">INVEST_WITH_CONDITIONS</t>
        </is>
      </c>
      <c r="J4" s="15" t="str">
        <f>IF(OR(B4="FAIL",C4="FAIL"),"REJECT",IF(OR(B4="CONDITIONAL",C4="CONDITIONAL"),"INVEST_WITH_CONDITIONS","PASS"))</f>
        <v>INVEST_WITH_CONDITIONS</v>
      </c>
      <c r="K4" s="15" t="str">
        <f>IF(J4=I4,"MATCH","REVIEW")</f>
        <v>MATCH</v>
      </c>
    </row>
    <row r="5">
      <c r="A5" s="0" t="inlineStr">
        <is>
          <t xml:space="preserve">VG-004</t>
        </is>
      </c>
      <c r="B5" s="17" t="inlineStr">
        <is>
          <t xml:space="preserve">CONDITIONAL</t>
        </is>
      </c>
      <c r="C5" s="15" t="inlineStr">
        <is>
          <t xml:space="preserve">PASS</t>
        </is>
      </c>
      <c r="D5" s="0" t="inlineStr">
        <is>
          <t xml:space="preserve">billed_tariff_confirmation</t>
        </is>
      </c>
      <c r="E5" s="0" t="inlineStr">
        <is>
          <t xml:space="preserve">INVEST_WITH_CONDITIONS</t>
        </is>
      </c>
      <c r="F5" s="0" t="inlineStr">
        <is>
          <t xml:space="preserve">confirm billed tariff and final legal applicability</t>
        </is>
      </c>
      <c r="G5" s="0" t="inlineStr">
        <is>
          <t xml:space="preserve">complete lender/legal/technical/site diligence</t>
        </is>
      </c>
      <c r="H5" s="0" t="inlineStr">
        <is>
          <t xml:space="preserve">re-run P90, debt and portfolio QA</t>
        </is>
      </c>
      <c r="I5" s="0" t="inlineStr">
        <is>
          <t xml:space="preserve">INVEST_WITH_CONDITIONS</t>
        </is>
      </c>
      <c r="J5" s="15" t="str">
        <f>IF(OR(B5="FAIL",C5="FAIL"),"REJECT",IF(OR(B5="CONDITIONAL",C5="CONDITIONAL"),"INVEST_WITH_CONDITIONS","PASS"))</f>
        <v>INVEST_WITH_CONDITIONS</v>
      </c>
      <c r="K5" s="15" t="str">
        <f>IF(J5=I5,"MATCH","REVIEW")</f>
        <v>MATCH</v>
      </c>
    </row>
    <row r="6">
      <c r="A6" s="0" t="inlineStr">
        <is>
          <t xml:space="preserve">VG-005</t>
        </is>
      </c>
      <c r="B6" s="17" t="inlineStr">
        <is>
          <t xml:space="preserve">CONDITIONAL</t>
        </is>
      </c>
      <c r="C6" s="15" t="inlineStr">
        <is>
          <t xml:space="preserve">PASS</t>
        </is>
      </c>
      <c r="D6" s="0" t="inlineStr">
        <is>
          <t xml:space="preserve">billed_tariff_confirmation</t>
        </is>
      </c>
      <c r="E6" s="0" t="inlineStr">
        <is>
          <t xml:space="preserve">INVEST_WITH_CONDITIONS</t>
        </is>
      </c>
      <c r="F6" s="0" t="inlineStr">
        <is>
          <t xml:space="preserve">confirm billed tariff and final legal applicability</t>
        </is>
      </c>
      <c r="G6" s="0" t="inlineStr">
        <is>
          <t xml:space="preserve">complete lender/legal/technical/site diligence</t>
        </is>
      </c>
      <c r="H6" s="0" t="inlineStr">
        <is>
          <t xml:space="preserve">re-run P90, debt and portfolio QA</t>
        </is>
      </c>
      <c r="I6" s="0" t="inlineStr">
        <is>
          <t xml:space="preserve">INVEST_WITH_CONDITIONS</t>
        </is>
      </c>
      <c r="J6" s="15" t="str">
        <f>IF(OR(B6="FAIL",C6="FAIL"),"REJECT",IF(OR(B6="CONDITIONAL",C6="CONDITIONAL"),"INVEST_WITH_CONDITIONS","PASS"))</f>
        <v>INVEST_WITH_CONDITIONS</v>
      </c>
      <c r="K6" s="15" t="str">
        <f>IF(J6=I6,"MATCH","REVIEW")</f>
        <v>MATCH</v>
      </c>
    </row>
    <row r="7">
      <c r="A7" s="0" t="inlineStr">
        <is>
          <t xml:space="preserve">VG-006</t>
        </is>
      </c>
      <c r="B7" s="16" t="inlineStr">
        <is>
          <t xml:space="preserve">FAIL</t>
        </is>
      </c>
      <c r="C7" s="16" t="inlineStr">
        <is>
          <t xml:space="preserve">FAIL</t>
        </is>
      </c>
      <c r="D7" s="0" t="inlineStr">
        <is>
          <t xml:space="preserve">credit_site_continuity|billed_tariff_confirmation</t>
        </is>
      </c>
      <c r="E7" s="16" t="inlineStr">
        <is>
          <t xml:space="preserve">REJECT</t>
        </is>
      </c>
      <c r="F7" s="0" t="inlineStr">
        <is>
          <t xml:space="preserve">confirm billed tariff and final legal applicability</t>
        </is>
      </c>
      <c r="G7" s="0" t="inlineStr">
        <is>
          <t xml:space="preserve">complete lender/legal/technical/site diligence</t>
        </is>
      </c>
      <c r="H7" s="0" t="inlineStr">
        <is>
          <t xml:space="preserve">re-run P90, debt and portfolio QA</t>
        </is>
      </c>
      <c r="I7" s="16" t="inlineStr">
        <is>
          <t xml:space="preserve">REJECT</t>
        </is>
      </c>
      <c r="J7" s="16" t="str">
        <f>IF(OR(B7="FAIL",C7="FAIL"),"REJECT",IF(OR(B7="CONDITIONAL",C7="CONDITIONAL"),"INVEST_WITH_CONDITIONS","PASS"))</f>
        <v>REJECT</v>
      </c>
      <c r="K7" s="15" t="str">
        <f>IF(J7=I7,"MATCH","REVIEW")</f>
        <v>MATCH</v>
      </c>
    </row>
    <row r="8">
      <c r="A8" s="0" t="inlineStr">
        <is>
          <t xml:space="preserve">VG-007</t>
        </is>
      </c>
      <c r="B8" s="17" t="inlineStr">
        <is>
          <t xml:space="preserve">CONDITIONAL</t>
        </is>
      </c>
      <c r="C8" s="17" t="inlineStr">
        <is>
          <t xml:space="preserve">CONDITIONAL</t>
        </is>
      </c>
      <c r="D8" s="0" t="inlineStr">
        <is>
          <t xml:space="preserve">credit_site_continuity|billed_tariff_confirmation</t>
        </is>
      </c>
      <c r="E8" s="0" t="inlineStr">
        <is>
          <t xml:space="preserve">INVEST_WITH_CONDITIONS</t>
        </is>
      </c>
      <c r="F8" s="0" t="inlineStr">
        <is>
          <t xml:space="preserve">confirm billed tariff and final legal applicability</t>
        </is>
      </c>
      <c r="G8" s="0" t="inlineStr">
        <is>
          <t xml:space="preserve">complete lender/legal/technical/site diligence</t>
        </is>
      </c>
      <c r="H8" s="0" t="inlineStr">
        <is>
          <t xml:space="preserve">re-run P90, debt and portfolio QA</t>
        </is>
      </c>
      <c r="I8" s="0" t="inlineStr">
        <is>
          <t xml:space="preserve">INVEST_WITH_CONDITIONS</t>
        </is>
      </c>
      <c r="J8" s="15" t="str">
        <f>IF(OR(B8="FAIL",C8="FAIL"),"REJECT",IF(OR(B8="CONDITIONAL",C8="CONDITIONAL"),"INVEST_WITH_CONDITIONS","PASS"))</f>
        <v>INVEST_WITH_CONDITIONS</v>
      </c>
      <c r="K8" s="15" t="str">
        <f>IF(J8=I8,"MATCH","REVIEW")</f>
        <v>MATCH</v>
      </c>
    </row>
    <row r="9">
      <c r="A9" s="0" t="inlineStr">
        <is>
          <t xml:space="preserve">VG-008</t>
        </is>
      </c>
      <c r="B9" s="17" t="inlineStr">
        <is>
          <t xml:space="preserve">CONDITIONAL</t>
        </is>
      </c>
      <c r="C9" s="15" t="inlineStr">
        <is>
          <t xml:space="preserve">PASS</t>
        </is>
      </c>
      <c r="D9" s="0" t="inlineStr">
        <is>
          <t xml:space="preserve">billed_tariff_confirmation</t>
        </is>
      </c>
      <c r="E9" s="0" t="inlineStr">
        <is>
          <t xml:space="preserve">INVEST_WITH_CONDITIONS</t>
        </is>
      </c>
      <c r="F9" s="0" t="inlineStr">
        <is>
          <t xml:space="preserve">confirm billed tariff and final legal applicability</t>
        </is>
      </c>
      <c r="G9" s="0" t="inlineStr">
        <is>
          <t xml:space="preserve">complete lender/legal/technical/site diligence</t>
        </is>
      </c>
      <c r="H9" s="0" t="inlineStr">
        <is>
          <t xml:space="preserve">re-run P90, debt and portfolio QA</t>
        </is>
      </c>
      <c r="I9" s="0" t="inlineStr">
        <is>
          <t xml:space="preserve">INVEST_WITH_CONDITIONS</t>
        </is>
      </c>
      <c r="J9" s="15" t="str">
        <f>IF(OR(B9="FAIL",C9="FAIL"),"REJECT",IF(OR(B9="CONDITIONAL",C9="CONDITIONAL"),"INVEST_WITH_CONDITIONS","PASS"))</f>
        <v>INVEST_WITH_CONDITIONS</v>
      </c>
      <c r="K9" s="15" t="str">
        <f>IF(J9=I9,"MATCH","REVIEW")</f>
        <v>MATCH</v>
      </c>
    </row>
    <row r="10">
      <c r="A10" s="0" t="inlineStr">
        <is>
          <t xml:space="preserve">VG-009</t>
        </is>
      </c>
      <c r="B10" s="16" t="inlineStr">
        <is>
          <t xml:space="preserve">FAIL</t>
        </is>
      </c>
      <c r="C10" s="16" t="inlineStr">
        <is>
          <t xml:space="preserve">FAIL</t>
        </is>
      </c>
      <c r="D10" s="0" t="inlineStr">
        <is>
          <t xml:space="preserve">legal_applicability|billed_tariff_confirmation</t>
        </is>
      </c>
      <c r="E10" s="17" t="inlineStr">
        <is>
          <t xml:space="preserve">RENEGOTIATE</t>
        </is>
      </c>
      <c r="F10" s="0" t="inlineStr">
        <is>
          <t xml:space="preserve">confirm billed tariff and final legal applicability</t>
        </is>
      </c>
      <c r="G10" s="0" t="inlineStr">
        <is>
          <t xml:space="preserve">complete lender/legal/technical/site diligence</t>
        </is>
      </c>
      <c r="H10" s="0" t="inlineStr">
        <is>
          <t xml:space="preserve">re-run P90, debt and portfolio QA</t>
        </is>
      </c>
      <c r="I10" s="17" t="inlineStr">
        <is>
          <t xml:space="preserve">RENEGOTIATE</t>
        </is>
      </c>
      <c r="J10" s="16" t="str">
        <f>IF(OR(B10="FAIL",C10="FAIL"),"REJECT",IF(OR(B10="CONDITIONAL",C10="CONDITIONAL"),"INVEST_WITH_CONDITIONS","PASS"))</f>
        <v>REJECT</v>
      </c>
      <c r="K10" s="17" t="str">
        <f>IF(J10=I10,"MATCH","REVIEW")</f>
        <v>REVIEW</v>
      </c>
    </row>
    <row r="11">
      <c r="A11" s="0" t="inlineStr">
        <is>
          <t xml:space="preserve">VG-010</t>
        </is>
      </c>
      <c r="B11" s="17" t="inlineStr">
        <is>
          <t xml:space="preserve">CONDITIONAL</t>
        </is>
      </c>
      <c r="C11" s="15" t="inlineStr">
        <is>
          <t xml:space="preserve">PASS</t>
        </is>
      </c>
      <c r="D11" s="0" t="inlineStr">
        <is>
          <t xml:space="preserve">billed_tariff_confirmation</t>
        </is>
      </c>
      <c r="E11" s="0" t="inlineStr">
        <is>
          <t xml:space="preserve">INVEST_WITH_CONDITIONS</t>
        </is>
      </c>
      <c r="F11" s="0" t="inlineStr">
        <is>
          <t xml:space="preserve">confirm billed tariff and final legal applicability</t>
        </is>
      </c>
      <c r="G11" s="0" t="inlineStr">
        <is>
          <t xml:space="preserve">complete lender/legal/technical/site diligence</t>
        </is>
      </c>
      <c r="H11" s="0" t="inlineStr">
        <is>
          <t xml:space="preserve">re-run P90, debt and portfolio QA</t>
        </is>
      </c>
      <c r="I11" s="0" t="inlineStr">
        <is>
          <t xml:space="preserve">INVEST_WITH_CONDITIONS</t>
        </is>
      </c>
      <c r="J11" s="15" t="str">
        <f>IF(OR(B11="FAIL",C11="FAIL"),"REJECT",IF(OR(B11="CONDITIONAL",C11="CONDITIONAL"),"INVEST_WITH_CONDITIONS","PASS"))</f>
        <v>INVEST_WITH_CONDITIONS</v>
      </c>
      <c r="K11" s="15" t="str">
        <f>IF(J11=I11,"MATCH","REVIEW")</f>
        <v>MATCH</v>
      </c>
    </row>
    <row r="12">
      <c r="A12" s="0" t="inlineStr">
        <is>
          <t xml:space="preserve">VG-011</t>
        </is>
      </c>
      <c r="B12" s="17" t="inlineStr">
        <is>
          <t xml:space="preserve">CONDITIONAL</t>
        </is>
      </c>
      <c r="C12" s="15" t="inlineStr">
        <is>
          <t xml:space="preserve">PASS</t>
        </is>
      </c>
      <c r="D12" s="0" t="inlineStr">
        <is>
          <t xml:space="preserve">billed_tariff_confirmation</t>
        </is>
      </c>
      <c r="E12" s="0" t="inlineStr">
        <is>
          <t xml:space="preserve">INVEST_WITH_CONDITIONS</t>
        </is>
      </c>
      <c r="F12" s="0" t="inlineStr">
        <is>
          <t xml:space="preserve">confirm billed tariff and final legal applicability</t>
        </is>
      </c>
      <c r="G12" s="0" t="inlineStr">
        <is>
          <t xml:space="preserve">complete lender/legal/technical/site diligence</t>
        </is>
      </c>
      <c r="H12" s="0" t="inlineStr">
        <is>
          <t xml:space="preserve">re-run P90, debt and portfolio QA</t>
        </is>
      </c>
      <c r="I12" s="0" t="inlineStr">
        <is>
          <t xml:space="preserve">INVEST_WITH_CONDITIONS</t>
        </is>
      </c>
      <c r="J12" s="15" t="str">
        <f>IF(OR(B12="FAIL",C12="FAIL"),"REJECT",IF(OR(B12="CONDITIONAL",C12="CONDITIONAL"),"INVEST_WITH_CONDITIONS","PASS"))</f>
        <v>INVEST_WITH_CONDITIONS</v>
      </c>
      <c r="K12" s="15" t="str">
        <f>IF(J12=I12,"MATCH","REVIEW")</f>
        <v>MATCH</v>
      </c>
    </row>
    <row r="13">
      <c r="A13" s="0" t="inlineStr">
        <is>
          <t xml:space="preserve">VG-012</t>
        </is>
      </c>
      <c r="B13" s="17" t="inlineStr">
        <is>
          <t xml:space="preserve">CONDITIONAL</t>
        </is>
      </c>
      <c r="C13" s="15" t="inlineStr">
        <is>
          <t xml:space="preserve">PASS</t>
        </is>
      </c>
      <c r="D13" s="0" t="inlineStr">
        <is>
          <t xml:space="preserve">billed_tariff_confirmation</t>
        </is>
      </c>
      <c r="E13" s="0" t="inlineStr">
        <is>
          <t xml:space="preserve">INVEST_WITH_CONDITIONS</t>
        </is>
      </c>
      <c r="F13" s="0" t="inlineStr">
        <is>
          <t xml:space="preserve">confirm billed tariff and final legal applicability</t>
        </is>
      </c>
      <c r="G13" s="0" t="inlineStr">
        <is>
          <t xml:space="preserve">complete lender/legal/technical/site diligence</t>
        </is>
      </c>
      <c r="H13" s="0" t="inlineStr">
        <is>
          <t xml:space="preserve">re-run P90, debt and portfolio QA</t>
        </is>
      </c>
      <c r="I13" s="0" t="inlineStr">
        <is>
          <t xml:space="preserve">INVEST_WITH_CONDITIONS</t>
        </is>
      </c>
      <c r="J13" s="15" t="str">
        <f>IF(OR(B13="FAIL",C13="FAIL"),"REJECT",IF(OR(B13="CONDITIONAL",C13="CONDITIONAL"),"INVEST_WITH_CONDITIONS","PASS"))</f>
        <v>INVEST_WITH_CONDITIONS</v>
      </c>
      <c r="K13" s="15" t="str">
        <f>IF(J13=I13,"MATCH","REVIEW")</f>
        <v>MATCH</v>
      </c>
    </row>
    <row r="14">
      <c r="A14" s="0" t="inlineStr">
        <is>
          <t xml:space="preserve">VG-013</t>
        </is>
      </c>
      <c r="B14" s="17" t="inlineStr">
        <is>
          <t xml:space="preserve">CONDITIONAL</t>
        </is>
      </c>
      <c r="C14" s="15" t="inlineStr">
        <is>
          <t xml:space="preserve">PASS</t>
        </is>
      </c>
      <c r="D14" s="0" t="inlineStr">
        <is>
          <t xml:space="preserve">billed_tariff_confirmation</t>
        </is>
      </c>
      <c r="E14" s="0" t="inlineStr">
        <is>
          <t xml:space="preserve">INVEST_WITH_CONDITIONS</t>
        </is>
      </c>
      <c r="F14" s="0" t="inlineStr">
        <is>
          <t xml:space="preserve">confirm billed tariff and final legal applicability</t>
        </is>
      </c>
      <c r="G14" s="0" t="inlineStr">
        <is>
          <t xml:space="preserve">complete lender/legal/technical/site diligence</t>
        </is>
      </c>
      <c r="H14" s="0" t="inlineStr">
        <is>
          <t xml:space="preserve">re-run P90, debt and portfolio QA</t>
        </is>
      </c>
      <c r="I14" s="0" t="inlineStr">
        <is>
          <t xml:space="preserve">INVEST_WITH_CONDITIONS</t>
        </is>
      </c>
      <c r="J14" s="15" t="str">
        <f>IF(OR(B14="FAIL",C14="FAIL"),"REJECT",IF(OR(B14="CONDITIONAL",C14="CONDITIONAL"),"INVEST_WITH_CONDITIONS","PASS"))</f>
        <v>INVEST_WITH_CONDITIONS</v>
      </c>
      <c r="K14" s="15" t="str">
        <f>IF(J14=I14,"MATCH","REVIEW")</f>
        <v>MATCH</v>
      </c>
    </row>
    <row r="15">
      <c r="A15" s="0" t="inlineStr">
        <is>
          <t xml:space="preserve">VG-014</t>
        </is>
      </c>
      <c r="B15" s="17" t="inlineStr">
        <is>
          <t xml:space="preserve">CONDITIONAL</t>
        </is>
      </c>
      <c r="C15" s="15" t="inlineStr">
        <is>
          <t xml:space="preserve">PASS</t>
        </is>
      </c>
      <c r="D15" s="0" t="inlineStr">
        <is>
          <t xml:space="preserve">billed_tariff_confirmation</t>
        </is>
      </c>
      <c r="E15" s="0" t="inlineStr">
        <is>
          <t xml:space="preserve">INVEST_WITH_CONDITIONS</t>
        </is>
      </c>
      <c r="F15" s="0" t="inlineStr">
        <is>
          <t xml:space="preserve">confirm billed tariff and final legal applicability</t>
        </is>
      </c>
      <c r="G15" s="0" t="inlineStr">
        <is>
          <t xml:space="preserve">complete lender/legal/technical/site diligence</t>
        </is>
      </c>
      <c r="H15" s="0" t="inlineStr">
        <is>
          <t xml:space="preserve">re-run P90, debt and portfolio QA</t>
        </is>
      </c>
      <c r="I15" s="0" t="inlineStr">
        <is>
          <t xml:space="preserve">INVEST_WITH_CONDITIONS</t>
        </is>
      </c>
      <c r="J15" s="15" t="str">
        <f>IF(OR(B15="FAIL",C15="FAIL"),"REJECT",IF(OR(B15="CONDITIONAL",C15="CONDITIONAL"),"INVEST_WITH_CONDITIONS","PASS"))</f>
        <v>INVEST_WITH_CONDITIONS</v>
      </c>
      <c r="K15" s="15" t="str">
        <f>IF(J15=I15,"MATCH","REVIEW")</f>
        <v>MATCH</v>
      </c>
    </row>
    <row r="16">
      <c r="A16" s="0" t="inlineStr">
        <is>
          <t xml:space="preserve">VG-015</t>
        </is>
      </c>
      <c r="B16" s="17" t="inlineStr">
        <is>
          <t xml:space="preserve">CONDITIONAL</t>
        </is>
      </c>
      <c r="C16" s="15" t="inlineStr">
        <is>
          <t xml:space="preserve">PASS</t>
        </is>
      </c>
      <c r="D16" s="0" t="inlineStr">
        <is>
          <t xml:space="preserve">billed_tariff_confirmation</t>
        </is>
      </c>
      <c r="E16" s="0" t="inlineStr">
        <is>
          <t xml:space="preserve">INVEST_WITH_CONDITIONS</t>
        </is>
      </c>
      <c r="F16" s="0" t="inlineStr">
        <is>
          <t xml:space="preserve">confirm billed tariff and final legal applicability</t>
        </is>
      </c>
      <c r="G16" s="0" t="inlineStr">
        <is>
          <t xml:space="preserve">complete lender/legal/technical/site diligence</t>
        </is>
      </c>
      <c r="H16" s="0" t="inlineStr">
        <is>
          <t xml:space="preserve">re-run P90, debt and portfolio QA</t>
        </is>
      </c>
      <c r="I16" s="0" t="inlineStr">
        <is>
          <t xml:space="preserve">INVEST_WITH_CONDITIONS</t>
        </is>
      </c>
      <c r="J16" s="15" t="str">
        <f>IF(OR(B16="FAIL",C16="FAIL"),"REJECT",IF(OR(B16="CONDITIONAL",C16="CONDITIONAL"),"INVEST_WITH_CONDITIONS","PASS"))</f>
        <v>INVEST_WITH_CONDITIONS</v>
      </c>
      <c r="K16" s="15" t="str">
        <f>IF(J16=I16,"MATCH","REVIEW")</f>
        <v>MATCH</v>
      </c>
    </row>
    <row r="17">
      <c r="A17" s="0" t="inlineStr">
        <is>
          <t xml:space="preserve">VG-016</t>
        </is>
      </c>
      <c r="B17" s="16" t="inlineStr">
        <is>
          <t xml:space="preserve">FAIL</t>
        </is>
      </c>
      <c r="C17" s="16" t="inlineStr">
        <is>
          <t xml:space="preserve">FAIL</t>
        </is>
      </c>
      <c r="D17" s="0" t="inlineStr">
        <is>
          <t xml:space="preserve">tenor_or_dscr|billed_tariff_confirmation</t>
        </is>
      </c>
      <c r="E17" s="17" t="inlineStr">
        <is>
          <t xml:space="preserve">RENEGOTIATE</t>
        </is>
      </c>
      <c r="F17" s="0" t="inlineStr">
        <is>
          <t xml:space="preserve">confirm billed tariff and final legal applicability</t>
        </is>
      </c>
      <c r="G17" s="0" t="inlineStr">
        <is>
          <t xml:space="preserve">complete lender/legal/technical/site diligence</t>
        </is>
      </c>
      <c r="H17" s="0" t="inlineStr">
        <is>
          <t xml:space="preserve">re-run P90, debt and portfolio QA</t>
        </is>
      </c>
      <c r="I17" s="17" t="inlineStr">
        <is>
          <t xml:space="preserve">RENEGOTIATE</t>
        </is>
      </c>
      <c r="J17" s="16" t="str">
        <f>IF(OR(B17="FAIL",C17="FAIL"),"REJECT",IF(OR(B17="CONDITIONAL",C17="CONDITIONAL"),"INVEST_WITH_CONDITIONS","PASS"))</f>
        <v>REJECT</v>
      </c>
      <c r="K17" s="17" t="str">
        <f>IF(J17=I17,"MATCH","REVIEW")</f>
        <v>REVIEW</v>
      </c>
    </row>
    <row r="18">
      <c r="A18" s="0" t="inlineStr">
        <is>
          <t xml:space="preserve">VG-017</t>
        </is>
      </c>
      <c r="B18" s="16" t="inlineStr">
        <is>
          <t xml:space="preserve">FAIL</t>
        </is>
      </c>
      <c r="C18" s="16" t="inlineStr">
        <is>
          <t xml:space="preserve">FAIL</t>
        </is>
      </c>
      <c r="D18" s="0" t="inlineStr">
        <is>
          <t xml:space="preserve">technical_due_diligence|billed_tariff_confirmation</t>
        </is>
      </c>
      <c r="E18" s="17" t="inlineStr">
        <is>
          <t xml:space="preserve">RENEGOTIATE</t>
        </is>
      </c>
      <c r="F18" s="0" t="inlineStr">
        <is>
          <t xml:space="preserve">confirm billed tariff and final legal applicability</t>
        </is>
      </c>
      <c r="G18" s="0" t="inlineStr">
        <is>
          <t xml:space="preserve">complete lender/legal/technical/site diligence</t>
        </is>
      </c>
      <c r="H18" s="0" t="inlineStr">
        <is>
          <t xml:space="preserve">re-run P90, debt and portfolio QA</t>
        </is>
      </c>
      <c r="I18" s="17" t="inlineStr">
        <is>
          <t xml:space="preserve">RENEGOTIATE</t>
        </is>
      </c>
      <c r="J18" s="16" t="str">
        <f>IF(OR(B18="FAIL",C18="FAIL"),"REJECT",IF(OR(B18="CONDITIONAL",C18="CONDITIONAL"),"INVEST_WITH_CONDITIONS","PASS"))</f>
        <v>REJECT</v>
      </c>
      <c r="K18" s="17" t="str">
        <f>IF(J18=I18,"MATCH","REVIEW")</f>
        <v>REVIEW</v>
      </c>
    </row>
    <row r="19">
      <c r="A19" s="0" t="inlineStr">
        <is>
          <t xml:space="preserve">VG-018</t>
        </is>
      </c>
      <c r="B19" s="17" t="inlineStr">
        <is>
          <t xml:space="preserve">CONDITIONAL</t>
        </is>
      </c>
      <c r="C19" s="15" t="inlineStr">
        <is>
          <t xml:space="preserve">PASS</t>
        </is>
      </c>
      <c r="D19" s="0" t="inlineStr">
        <is>
          <t xml:space="preserve">billed_tariff_confirmation</t>
        </is>
      </c>
      <c r="E19" s="0" t="inlineStr">
        <is>
          <t xml:space="preserve">INVEST_WITH_CONDITIONS</t>
        </is>
      </c>
      <c r="F19" s="0" t="inlineStr">
        <is>
          <t xml:space="preserve">confirm billed tariff and final legal applicability</t>
        </is>
      </c>
      <c r="G19" s="0" t="inlineStr">
        <is>
          <t xml:space="preserve">complete lender/legal/technical/site diligence</t>
        </is>
      </c>
      <c r="H19" s="0" t="inlineStr">
        <is>
          <t xml:space="preserve">re-run P90, debt and portfolio QA</t>
        </is>
      </c>
      <c r="I19" s="0" t="inlineStr">
        <is>
          <t xml:space="preserve">INVEST_WITH_CONDITIONS</t>
        </is>
      </c>
      <c r="J19" s="15" t="str">
        <f>IF(OR(B19="FAIL",C19="FAIL"),"REJECT",IF(OR(B19="CONDITIONAL",C19="CONDITIONAL"),"INVEST_WITH_CONDITIONS","PASS"))</f>
        <v>INVEST_WITH_CONDITIONS</v>
      </c>
      <c r="K19" s="15" t="str">
        <f>IF(J19=I19,"MATCH","REVIEW")</f>
        <v>MATCH</v>
      </c>
    </row>
    <row r="20">
      <c r="A20" s="0" t="inlineStr">
        <is>
          <t xml:space="preserve">VG-019</t>
        </is>
      </c>
      <c r="B20" s="17" t="inlineStr">
        <is>
          <t xml:space="preserve">CONDITIONAL</t>
        </is>
      </c>
      <c r="C20" s="15" t="inlineStr">
        <is>
          <t xml:space="preserve">PASS</t>
        </is>
      </c>
      <c r="D20" s="0" t="inlineStr">
        <is>
          <t xml:space="preserve">billed_tariff_confirmation</t>
        </is>
      </c>
      <c r="E20" s="0" t="inlineStr">
        <is>
          <t xml:space="preserve">INVEST_WITH_CONDITIONS</t>
        </is>
      </c>
      <c r="F20" s="0" t="inlineStr">
        <is>
          <t xml:space="preserve">confirm billed tariff and final legal applicability</t>
        </is>
      </c>
      <c r="G20" s="0" t="inlineStr">
        <is>
          <t xml:space="preserve">complete lender/legal/technical/site diligence</t>
        </is>
      </c>
      <c r="H20" s="0" t="inlineStr">
        <is>
          <t xml:space="preserve">re-run P90, debt and portfolio QA</t>
        </is>
      </c>
      <c r="I20" s="0" t="inlineStr">
        <is>
          <t xml:space="preserve">INVEST_WITH_CONDITIONS</t>
        </is>
      </c>
      <c r="J20" s="15" t="str">
        <f>IF(OR(B20="FAIL",C20="FAIL"),"REJECT",IF(OR(B20="CONDITIONAL",C20="CONDITIONAL"),"INVEST_WITH_CONDITIONS","PASS"))</f>
        <v>INVEST_WITH_CONDITIONS</v>
      </c>
      <c r="K20" s="15" t="str">
        <f>IF(J20=I20,"MATCH","REVIEW")</f>
        <v>MATCH</v>
      </c>
    </row>
    <row r="21">
      <c r="A21" s="0" t="inlineStr">
        <is>
          <t xml:space="preserve">VG-020</t>
        </is>
      </c>
      <c r="B21" s="16" t="inlineStr">
        <is>
          <t xml:space="preserve">FAIL</t>
        </is>
      </c>
      <c r="C21" s="16" t="inlineStr">
        <is>
          <t xml:space="preserve">FAIL</t>
        </is>
      </c>
      <c r="D21" s="0" t="inlineStr">
        <is>
          <t xml:space="preserve">legal_applicability|billed_tariff_confirmation</t>
        </is>
      </c>
      <c r="E21" s="17" t="inlineStr">
        <is>
          <t xml:space="preserve">RENEGOTIATE</t>
        </is>
      </c>
      <c r="F21" s="0" t="inlineStr">
        <is>
          <t xml:space="preserve">confirm billed tariff and final legal applicability</t>
        </is>
      </c>
      <c r="G21" s="0" t="inlineStr">
        <is>
          <t xml:space="preserve">complete lender/legal/technical/site diligence</t>
        </is>
      </c>
      <c r="H21" s="0" t="inlineStr">
        <is>
          <t xml:space="preserve">re-run P90, debt and portfolio QA</t>
        </is>
      </c>
      <c r="I21" s="17" t="inlineStr">
        <is>
          <t xml:space="preserve">RENEGOTIATE</t>
        </is>
      </c>
      <c r="J21" s="16" t="str">
        <f>IF(OR(B21="FAIL",C21="FAIL"),"REJECT",IF(OR(B21="CONDITIONAL",C21="CONDITIONAL"),"INVEST_WITH_CONDITIONS","PASS"))</f>
        <v>REJECT</v>
      </c>
      <c r="K21" s="17" t="str">
        <f>IF(J21=I21,"MATCH","REVIEW")</f>
        <v>REVIEW</v>
      </c>
    </row>
  </sheetData>
  <autoFilter ref="A1:K21"/>
  <pageMargins left="0.35" right="0.35" top="0.5" bottom="0.5" header="0.2" footer="0.2"/>
</worksheet>
</file>

<file path=xl/worksheets/sheet21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1.70" customWidth="1"/>
    <col min="2" max="2" width="18.00" customWidth="1"/>
    <col min="3" max="3" width="24.00" customWidth="1"/>
    <col min="4" max="4" width="24.00" customWidth="1"/>
    <col min="5" max="5" width="10.00" customWidth="1"/>
    <col min="6" max="6" width="24.00" customWidth="1"/>
    <col min="7" max="7" width="18.90" customWidth="1"/>
    <col min="8" max="8" width="17.10" customWidth="1"/>
    <col min="9" max="9" width="10.00" customWidth="1"/>
    <col min="10" max="10" width="24.00" customWidth="1"/>
  </cols>
  <sheetData>
    <row r="1" ht="30" customHeight="1">
      <c r="A1" s="4" t="inlineStr">
        <is>
          <t xml:space="preserve">validation_id</t>
        </is>
      </c>
      <c r="B1" s="4" t="inlineStr">
        <is>
          <t xml:space="preserve">project_or_portfolio</t>
        </is>
      </c>
      <c r="C1" s="4" t="inlineStr">
        <is>
          <t xml:space="preserve">metric</t>
        </is>
      </c>
      <c r="D1" s="4" t="inlineStr">
        <is>
          <t xml:space="preserve">model_output</t>
        </is>
      </c>
      <c r="E1" s="4" t="inlineStr">
        <is>
          <t xml:space="preserve">unit</t>
        </is>
      </c>
      <c r="F1" s="4" t="inlineStr">
        <is>
          <t xml:space="preserve">benchmark_reference</t>
        </is>
      </c>
      <c r="G1" s="4" t="inlineStr">
        <is>
          <t xml:space="preserve">benchmark_id</t>
        </is>
      </c>
      <c r="H1" s="4" t="inlineStr">
        <is>
          <t xml:space="preserve">comparability_grade</t>
        </is>
      </c>
      <c r="I1" s="4" t="inlineStr">
        <is>
          <t xml:space="preserve">status</t>
        </is>
      </c>
      <c r="J1" s="4" t="inlineStr">
        <is>
          <t xml:space="preserve">exception_rationale</t>
        </is>
      </c>
    </row>
    <row r="2">
      <c r="A2" s="0" t="inlineStr">
        <is>
          <t xml:space="preserve">VAL-001</t>
        </is>
      </c>
      <c r="B2" s="0" t="inlineStr">
        <is>
          <t xml:space="preserve">Portfolio</t>
        </is>
      </c>
      <c r="C2" s="0" t="inlineStr">
        <is>
          <t xml:space="preserve">PVOUT specific yield</t>
        </is>
      </c>
      <c r="D2" s="0">
        <v>1393</v>
      </c>
      <c r="E2" s="0" t="inlineStr">
        <is>
          <t xml:space="preserve">kWh/kWp</t>
        </is>
      </c>
      <c r="F2" s="0" t="inlineStr">
        <is>
          <t xml:space="preserve">1100-1650</t>
        </is>
      </c>
      <c r="G2" s="0" t="inlineStr">
        <is>
          <t xml:space="preserve">BM-PVOUT</t>
        </is>
      </c>
      <c r="H2" s="0" t="inlineStr">
        <is>
          <t xml:space="preserve">MEDIUM</t>
        </is>
      </c>
      <c r="I2" s="15" t="inlineStr">
        <is>
          <t xml:space="preserve">PASS</t>
        </is>
      </c>
      <c r="J2" s="0" t="inlineStr">
        <is>
          <t xml:space="preserve">Weighted screening sanity range; modeled output</t>
        </is>
      </c>
    </row>
    <row r="3">
      <c r="A3" s="0" t="inlineStr">
        <is>
          <t xml:space="preserve">VAL-002</t>
        </is>
      </c>
      <c r="B3" s="0" t="inlineStr">
        <is>
          <t xml:space="preserve">Portfolio</t>
        </is>
      </c>
      <c r="C3" s="0" t="inlineStr">
        <is>
          <t xml:space="preserve">Annual degradation</t>
        </is>
      </c>
      <c r="D3" s="0">
        <v>0.5</v>
      </c>
      <c r="E3" s="0" t="inlineStr">
        <is>
          <t xml:space="preserve">%/year</t>
        </is>
      </c>
      <c r="F3" s="0" t="inlineStr">
        <is>
          <t xml:space="preserve">0.3-0.8</t>
        </is>
      </c>
      <c r="G3" s="0" t="inlineStr">
        <is>
          <t xml:space="preserve">BM-DEG</t>
        </is>
      </c>
      <c r="H3" s="0" t="inlineStr">
        <is>
          <t xml:space="preserve">MEDIUM</t>
        </is>
      </c>
      <c r="I3" s="15" t="inlineStr">
        <is>
          <t xml:space="preserve">PASS</t>
        </is>
      </c>
      <c r="J3" s="0" t="inlineStr">
        <is>
          <t xml:space="preserve">Comparator only; warranty evidence remains open.</t>
        </is>
      </c>
    </row>
    <row r="4">
      <c r="A4" s="0" t="inlineStr">
        <is>
          <t xml:space="preserve">VAL-003</t>
        </is>
      </c>
      <c r="B4" s="0" t="inlineStr">
        <is>
          <t xml:space="preserve">Portfolio</t>
        </is>
      </c>
      <c r="C4" s="0" t="inlineStr">
        <is>
          <t xml:space="preserve">CAPEX</t>
        </is>
      </c>
      <c r="D4" s="0">
        <v>850</v>
      </c>
      <c r="E4" s="0" t="inlineStr">
        <is>
          <t xml:space="preserve">USD/kWp</t>
        </is>
      </c>
      <c r="F4" s="0" t="inlineStr">
        <is>
          <t xml:space="preserve">IRENA utility-scale 691</t>
        </is>
      </c>
      <c r="G4" s="0" t="inlineStr">
        <is>
          <t xml:space="preserve">BM-UTILITY-CAPEX</t>
        </is>
      </c>
      <c r="H4" s="0" t="inlineStr">
        <is>
          <t xml:space="preserve">LOW</t>
        </is>
      </c>
      <c r="I4" s="0" t="inlineStr">
        <is>
          <t xml:space="preserve">EXPLAIN</t>
        </is>
      </c>
      <c r="J4" s="0" t="inlineStr">
        <is>
          <t xml:space="preserve">C&amp;I rooftop assumption; utility-scale benchmark is context only.</t>
        </is>
      </c>
    </row>
    <row r="5">
      <c r="A5" s="0" t="inlineStr">
        <is>
          <t xml:space="preserve">VAL-004</t>
        </is>
      </c>
      <c r="B5" s="0" t="inlineStr">
        <is>
          <t xml:space="preserve">Portfolio</t>
        </is>
      </c>
      <c r="C5" s="0" t="inlineStr">
        <is>
          <t xml:space="preserve">Portfolio structure</t>
        </is>
      </c>
      <c r="D5" s="0" t="inlineStr">
        <is>
          <t xml:space="preserve">multi-site SPV</t>
        </is>
      </c>
      <c r="E5" s="0" t="inlineStr">
        <is>
          <t xml:space="preserve">N/A_CONTEXT</t>
        </is>
      </c>
      <c r="F5" s="0" t="inlineStr">
        <is>
          <t xml:space="preserve">ADB/FMO precedents</t>
        </is>
      </c>
      <c r="G5" s="0" t="inlineStr">
        <is>
          <t xml:space="preserve">BM-ADB-SCALE</t>
        </is>
      </c>
      <c r="H5" s="0" t="inlineStr">
        <is>
          <t xml:space="preserve">N/A_CONTEXT</t>
        </is>
      </c>
      <c r="I5" s="0" t="inlineStr">
        <is>
          <t xml:space="preserve">N/A-CONTEXT</t>
        </is>
      </c>
      <c r="J5" s="0" t="inlineStr">
        <is>
          <t xml:space="preserve">Structure/scale precedent only; no term reverse-engineering.</t>
        </is>
      </c>
    </row>
    <row r="6">
      <c r="A6" s="0" t="inlineStr">
        <is>
          <t xml:space="preserve">VAL-005</t>
        </is>
      </c>
      <c r="B6" s="0" t="inlineStr">
        <is>
          <t xml:space="preserve">Portfolio</t>
        </is>
      </c>
      <c r="C6" s="0" t="inlineStr">
        <is>
          <t xml:space="preserve">Tariff implementation</t>
        </is>
      </c>
      <c r="D6" s="0" t="inlineStr">
        <is>
          <t xml:space="preserve">Decision 963 legal / current billed reference separate</t>
        </is>
      </c>
      <c r="E6" s="0" t="inlineStr">
        <is>
          <t xml:space="preserve">N/A_CONTEXT</t>
        </is>
      </c>
      <c r="F6" s="0" t="inlineStr">
        <is>
          <t xml:space="preserve">MOIT Q2 2026 briefing; MOIT 11 June 2026 briefing; EVN notice; EVN Bulletin No. 16/2026; EVNSPC implementation notice; EVNSPC pricing portal; EVNSPC meter-training notice; EVNSPC IT readiness notice; Decree 278/2026/ND-CP; EVN Decision 963 page</t>
        </is>
      </c>
      <c r="G6" s="0" t="inlineStr">
        <is>
          <t xml:space="preserve">BM-TAR-IMPLEMENTATION</t>
        </is>
      </c>
      <c r="H6" s="0" t="inlineStr">
        <is>
          <t xml:space="preserve">N/A_CONTEXT</t>
        </is>
      </c>
      <c r="I6" s="17" t="inlineStr">
        <is>
          <t xml:space="preserve">WATCH</t>
        </is>
      </c>
      <c r="J6" s="0" t="inlineStr">
        <is>
          <t xml:space="preserve">Official sources support billing-watch conclusion; confirm implementation.</t>
        </is>
      </c>
    </row>
    <row r="7">
      <c r="A7" s="0" t="inlineStr">
        <is>
          <t xml:space="preserve">VAL-006</t>
        </is>
      </c>
      <c r="B7" s="0" t="inlineStr">
        <is>
          <t xml:space="preserve">Portfolio</t>
        </is>
      </c>
      <c r="C7" s="0" t="inlineStr">
        <is>
          <t xml:space="preserve">Tax rule applicability</t>
        </is>
      </c>
      <c r="D7" s="0" t="inlineStr">
        <is>
          <t xml:space="preserve">registered proxy with recheck date</t>
        </is>
      </c>
      <c r="E7" s="0" t="inlineStr">
        <is>
          <t xml:space="preserve">N/A_CONTEXT</t>
        </is>
      </c>
      <c r="F7" s="0" t="inlineStr">
        <is>
          <t xml:space="preserve">Law 67 / Decrees 320 and 141 / Circular 20</t>
        </is>
      </c>
      <c r="G7" s="0" t="inlineStr">
        <is>
          <t xml:space="preserve">BM-TAX-LINEAGE</t>
        </is>
      </c>
      <c r="H7" s="0" t="inlineStr">
        <is>
          <t xml:space="preserve">LOW</t>
        </is>
      </c>
      <c r="I7" s="0" t="inlineStr">
        <is>
          <t xml:space="preserve">EXPLAIN</t>
        </is>
      </c>
      <c r="J7" s="0" t="inlineStr">
        <is>
          <t xml:space="preserve">Source lineage registered; tax counsel confirmation remains open.</t>
        </is>
      </c>
    </row>
    <row r="8">
      <c r="A8" s="0" t="inlineStr">
        <is>
          <t xml:space="preserve">VAL-007</t>
        </is>
      </c>
      <c r="B8" s="0" t="inlineStr">
        <is>
          <t xml:space="preserve">Portfolio</t>
        </is>
      </c>
      <c r="C8" s="0" t="inlineStr">
        <is>
          <t xml:space="preserve">Foreign borrowing eligibility</t>
        </is>
      </c>
      <c r="D8" s="0" t="inlineStr">
        <is>
          <t xml:space="preserve">amendment-aware checklist</t>
        </is>
      </c>
      <c r="E8" s="0" t="inlineStr">
        <is>
          <t xml:space="preserve">N/A_CONTEXT</t>
        </is>
      </c>
      <c r="F8" s="0" t="inlineStr">
        <is>
          <t xml:space="preserve">Circulars 08 and 19</t>
        </is>
      </c>
      <c r="G8" s="0" t="inlineStr">
        <is>
          <t xml:space="preserve">BM-FX-LEGAL</t>
        </is>
      </c>
      <c r="H8" s="0" t="inlineStr">
        <is>
          <t xml:space="preserve">N/A_CONTEXT</t>
        </is>
      </c>
      <c r="I8" s="17" t="inlineStr">
        <is>
          <t xml:space="preserve">WATCH</t>
        </is>
      </c>
      <c r="J8" s="0" t="inlineStr">
        <is>
          <t xml:space="preserve">Confirm eligibility and reporting transaction by transaction.</t>
        </is>
      </c>
    </row>
    <row r="9">
      <c r="A9" s="0" t="inlineStr">
        <is>
          <t xml:space="preserve">VAL-008</t>
        </is>
      </c>
      <c r="B9" s="0" t="inlineStr">
        <is>
          <t xml:space="preserve">Portfolio</t>
        </is>
      </c>
      <c r="C9" s="0" t="inlineStr">
        <is>
          <t xml:space="preserve">Utility-scale solar PV LCOE comparator</t>
        </is>
      </c>
      <c r="D9" s="0"/>
      <c r="E9" s="0" t="inlineStr">
        <is>
          <t xml:space="preserve">USD/MWh</t>
        </is>
      </c>
      <c r="F9" s="0" t="inlineStr">
        <is>
          <t xml:space="preserve">44 USD/MWh global utility-scale solar PV</t>
        </is>
      </c>
      <c r="G9" s="0" t="inlineStr">
        <is>
          <t xml:space="preserve">BM-UTILITY-LCOE-2025</t>
        </is>
      </c>
      <c r="H9" s="0" t="inlineStr">
        <is>
          <t xml:space="preserve">LOW</t>
        </is>
      </c>
      <c r="I9" s="0" t="inlineStr">
        <is>
          <t xml:space="preserve">N/A-CONTEXT</t>
        </is>
      </c>
      <c r="J9" s="0" t="inlineStr">
        <is>
          <t xml:space="preserve">Fresh IRENA 2025 context; not used to set C&amp;I rooftop tariff or CAPEX and not a Vietnam transaction quote.</t>
        </is>
      </c>
    </row>
    <row r="10">
      <c r="A10" s="0" t="inlineStr">
        <is>
          <t xml:space="preserve">VAL-009</t>
        </is>
      </c>
      <c r="B10" s="0" t="inlineStr">
        <is>
          <t xml:space="preserve">Portfolio</t>
        </is>
      </c>
      <c r="C10" s="0" t="inlineStr">
        <is>
          <t xml:space="preserve">Tax rule change monitoring</t>
        </is>
      </c>
      <c r="D10" s="0" t="inlineStr">
        <is>
          <t xml:space="preserve">Current registered tax stack retained pending legal review</t>
        </is>
      </c>
      <c r="E10" s="0" t="inlineStr">
        <is>
          <t xml:space="preserve">N/A_CONTEXT</t>
        </is>
      </c>
      <c r="F10" s="0" t="inlineStr">
        <is>
          <t xml:space="preserve">Draft amendment to Decree 320/2025 (not effective)</t>
        </is>
      </c>
      <c r="G10" s="0" t="inlineStr">
        <is>
          <t xml:space="preserve">BM-TAX-DRAFT-20260831</t>
        </is>
      </c>
      <c r="H10" s="0" t="inlineStr">
        <is>
          <t xml:space="preserve">N/A_CONTEXT</t>
        </is>
      </c>
      <c r="I10" s="17" t="inlineStr">
        <is>
          <t xml:space="preserve">WATCH</t>
        </is>
      </c>
      <c r="J10" s="0" t="inlineStr">
        <is>
          <t xml:space="preserve">Official draft consultation published 2026-08-28; no model-tax change applied; tax counsel/recheck remains open.</t>
        </is>
      </c>
    </row>
  </sheetData>
  <autoFilter ref="A1:J10"/>
  <pageMargins left="0.35" right="0.35" top="0.5" bottom="0.5" header="0.2" footer="0.2"/>
</worksheet>
</file>

<file path=xl/worksheets/sheet22.xml><?xml version="1.0" encoding="utf-8"?>
<worksheet xmlns="http://schemas.openxmlformats.org/spreadsheetml/2006/main">
  <sheetPr>
    <outlinePr summaryBelow="1" summaryRight="1"/>
  </sheetPr>
  <sheetViews>
    <sheetView workbookViewId="0" showGridLines="0">
      <pane ySplit="1" topLeftCell="A2" activePane="bottomLeft" state="frozen"/>
    </sheetView>
  </sheetViews>
  <sheetFormatPr defaultRowHeight="15"/>
  <cols>
    <col min="1" max="1" width="11.70" customWidth="1"/>
    <col min="2" max="2" width="10.00" customWidth="1"/>
    <col min="3" max="3" width="24.00" customWidth="1"/>
    <col min="4" max="4" width="24.00" customWidth="1"/>
  </cols>
  <sheetData>
    <row r="1" ht="30" customHeight="1">
      <c r="A1" s="4" t="inlineStr">
        <is>
          <t xml:space="preserve">test_id</t>
        </is>
      </c>
      <c r="B1" s="4" t="inlineStr">
        <is>
          <t xml:space="preserve">status</t>
        </is>
      </c>
      <c r="C1" s="4" t="inlineStr">
        <is>
          <t xml:space="preserve">actual</t>
        </is>
      </c>
      <c r="D1" s="4" t="inlineStr">
        <is>
          <t xml:space="preserve">detail</t>
        </is>
      </c>
    </row>
    <row r="2">
      <c r="A2" s="0" t="inlineStr">
        <is>
          <t xml:space="preserve">QA-REMOTE-001</t>
        </is>
      </c>
      <c r="B2" s="15" t="inlineStr">
        <is>
          <t xml:space="preserve">PASS</t>
        </is>
      </c>
      <c r="C2" s="0">
        <v>20</v>
      </c>
      <c r="D2" s="0" t="inlineStr">
        <is>
          <t xml:space="preserve">20-project master population</t>
        </is>
      </c>
    </row>
    <row r="3">
      <c r="A3" s="0" t="inlineStr">
        <is>
          <t xml:space="preserve">QA-REMOTE-002</t>
        </is>
      </c>
      <c r="B3" s="15" t="inlineStr">
        <is>
          <t xml:space="preserve">PASS</t>
        </is>
      </c>
      <c r="C3" s="0" t="inlineStr">
        <is>
          <t xml:space="preserve">all P90&lt;=P50</t>
        </is>
      </c>
      <c r="D3" s="0" t="inlineStr">
        <is>
          <t xml:space="preserve">P90 is source uncertainty, not a second loss multiplier</t>
        </is>
      </c>
    </row>
    <row r="4">
      <c r="A4" s="0" t="inlineStr">
        <is>
          <t xml:space="preserve">QA-REMOTE-003</t>
        </is>
      </c>
      <c r="B4" s="15" t="inlineStr">
        <is>
          <t xml:space="preserve">PASS</t>
        </is>
      </c>
      <c r="C4" s="0" t="inlineStr">
        <is>
          <t xml:space="preserve">20 hashes</t>
        </is>
      </c>
      <c r="D4" s="0" t="inlineStr">
        <is>
          <t xml:space="preserve">8,760 profile used for final finance</t>
        </is>
      </c>
    </row>
    <row r="5">
      <c r="A5" s="0" t="inlineStr">
        <is>
          <t xml:space="preserve">QA-REMOTE-004</t>
        </is>
      </c>
      <c r="B5" s="15" t="inlineStr">
        <is>
          <t xml:space="preserve">PASS</t>
        </is>
      </c>
      <c r="C5" s="0" t="inlineStr">
        <is>
          <t xml:space="preserve">all balances zero</t>
        </is>
      </c>
      <c r="D5" s="0" t="inlineStr">
        <is>
          <t xml:space="preserve">CAPEX sources and uses reconcile</t>
        </is>
      </c>
    </row>
    <row r="6">
      <c r="A6" s="0" t="inlineStr">
        <is>
          <t xml:space="preserve">QA-REMOTE-005</t>
        </is>
      </c>
      <c r="B6" s="15" t="inlineStr">
        <is>
          <t xml:space="preserve">PASS</t>
        </is>
      </c>
      <c r="C6" s="0" t="inlineStr">
        <is>
          <t xml:space="preserve">all debt schedules close</t>
        </is>
      </c>
      <c r="D6" s="0" t="inlineStr">
        <is>
          <t xml:space="preserve">Backward sizing and forward rebuild reconcile</t>
        </is>
      </c>
    </row>
    <row r="7">
      <c r="A7" s="0" t="inlineStr">
        <is>
          <t xml:space="preserve">QA-REMOTE-006</t>
        </is>
      </c>
      <c r="B7" s="15" t="inlineStr">
        <is>
          <t xml:space="preserve">PASS</t>
        </is>
      </c>
      <c r="C7" s="0">
        <v>2</v>
      </c>
      <c r="D7" s="0" t="inlineStr">
        <is>
          <t xml:space="preserve">Pooled facility re-sizing feedback converged</t>
        </is>
      </c>
    </row>
    <row r="8">
      <c r="A8" s="0" t="inlineStr">
        <is>
          <t xml:space="preserve">QA-REMOTE-007</t>
        </is>
      </c>
      <c r="B8" s="15" t="inlineStr">
        <is>
          <t xml:space="preserve">PASS</t>
        </is>
      </c>
      <c r="C8" s="0" t="inlineStr">
        <is>
          <t xml:space="preserve">all scenario isolation statuses PASS</t>
        </is>
      </c>
      <c r="D8" s="0" t="inlineStr">
        <is>
          <t xml:space="preserve">Scenario mechanisms remain explicit</t>
        </is>
      </c>
    </row>
    <row r="9">
      <c r="A9" s="0" t="inlineStr">
        <is>
          <t xml:space="preserve">QA-REMOTE-008</t>
        </is>
      </c>
      <c r="B9" s="15" t="inlineStr">
        <is>
          <t xml:space="preserve">PASS</t>
        </is>
      </c>
      <c r="C9" s="0" t="inlineStr">
        <is>
          <t xml:space="preserve">P90 CFADS &lt;= base</t>
        </is>
      </c>
      <c r="D9" s="0" t="inlineStr">
        <is>
          <t xml:space="preserve">Energy downside monotonicity</t>
        </is>
      </c>
    </row>
    <row r="10">
      <c r="A10" s="0" t="inlineStr">
        <is>
          <t xml:space="preserve">QA-REMOTE-009</t>
        </is>
      </c>
      <c r="B10" s="15" t="inlineStr">
        <is>
          <t xml:space="preserve">PASS</t>
        </is>
      </c>
      <c r="C10" s="0" t="inlineStr">
        <is>
          <t xml:space="preserve">DSO CFADS &lt;= base</t>
        </is>
      </c>
      <c r="D10" s="0" t="inlineStr">
        <is>
          <t xml:space="preserve">Working-capital downside monotonicity</t>
        </is>
      </c>
    </row>
    <row r="11">
      <c r="A11" s="0" t="inlineStr">
        <is>
          <t xml:space="preserve">QA-REMOTE-010</t>
        </is>
      </c>
      <c r="B11" s="15" t="inlineStr">
        <is>
          <t xml:space="preserve">PASS</t>
        </is>
      </c>
      <c r="C11" s="0" t="inlineStr">
        <is>
          <t xml:space="preserve">CAPEX factor 1.15</t>
        </is>
      </c>
      <c r="D11" s="0" t="inlineStr">
        <is>
          <t xml:space="preserve">CAPEX overrun is isolated from CFADS</t>
        </is>
      </c>
    </row>
    <row r="12">
      <c r="A12" s="0" t="inlineStr">
        <is>
          <t xml:space="preserve">QA-REMOTE-011</t>
        </is>
      </c>
      <c r="B12" s="15" t="inlineStr">
        <is>
          <t xml:space="preserve">PASS</t>
        </is>
      </c>
      <c r="C12" s="0" t="inlineStr">
        <is>
          <t xml:space="preserve">zero terminal value</t>
        </is>
      </c>
      <c r="D12" s="0" t="inlineStr">
        <is>
          <t xml:space="preserve">Terminal branch is visible and conservative</t>
        </is>
      </c>
    </row>
    <row r="13">
      <c r="A13" s="0" t="inlineStr">
        <is>
          <t xml:space="preserve">QA-REMOTE-012</t>
        </is>
      </c>
      <c r="B13" s="15" t="inlineStr">
        <is>
          <t xml:space="preserve">PASS</t>
        </is>
      </c>
      <c r="C13" s="0" t="inlineStr">
        <is>
          <t xml:space="preserve">pooled debt &lt;= selected CAPEX</t>
        </is>
      </c>
      <c r="D13" s="0" t="inlineStr">
        <is>
          <t xml:space="preserve">Pooled debt has an explicit borrowing-base cap</t>
        </is>
      </c>
    </row>
    <row r="14">
      <c r="A14" s="0" t="inlineStr">
        <is>
          <t xml:space="preserve">QA-REMOTE-013</t>
        </is>
      </c>
      <c r="B14" s="15" t="inlineStr">
        <is>
          <t xml:space="preserve">PASS</t>
        </is>
      </c>
      <c r="C14" s="17" t="inlineStr">
        <is>
          <t xml:space="preserve">WATCH</t>
        </is>
      </c>
      <c r="D14" s="0" t="inlineStr">
        <is>
          <t xml:space="preserve">Legal tariff schedule is not treated as billed implementation</t>
        </is>
      </c>
    </row>
    <row r="15">
      <c r="A15" s="0" t="inlineStr">
        <is>
          <t xml:space="preserve">QA-REMOTE-014</t>
        </is>
      </c>
      <c r="B15" s="15" t="inlineStr">
        <is>
          <t xml:space="preserve">PASS</t>
        </is>
      </c>
      <c r="C15" s="0" t="inlineStr">
        <is>
          <t xml:space="preserve">20 x 8760 tariff mappings</t>
        </is>
      </c>
      <c r="D15" s="0" t="inlineStr">
        <is>
          <t xml:space="preserve">Every local-standard hour maps to one legal/reference period</t>
        </is>
      </c>
    </row>
    <row r="16">
      <c r="A16" s="0" t="inlineStr">
        <is>
          <t xml:space="preserve">QA-REMOTE-015</t>
        </is>
      </c>
      <c r="B16" s="15" t="inlineStr">
        <is>
          <t xml:space="preserve">PASS</t>
        </is>
      </c>
      <c r="C16" s="0" t="inlineStr">
        <is>
          <t xml:space="preserve">hourly P50 load/solar reconciles</t>
        </is>
      </c>
      <c r="D16" s="0" t="inlineStr">
        <is>
          <t xml:space="preserve">8,760 load and solar vectors tie to annual inputs</t>
        </is>
      </c>
    </row>
    <row r="17">
      <c r="A17" s="0" t="inlineStr">
        <is>
          <t xml:space="preserve">QA-REMOTE-016</t>
        </is>
      </c>
      <c r="B17" s="15" t="inlineStr">
        <is>
          <t xml:space="preserve">PASS</t>
        </is>
      </c>
      <c r="C17" s="0" t="inlineStr">
        <is>
          <t xml:space="preserve">Decision 963 schedule validation PASS</t>
        </is>
      </c>
      <c r="D17" s="0" t="inlineStr">
        <is>
          <t xml:space="preserve">Half-hour boundaries are represented by one-hour interval midpoints</t>
        </is>
      </c>
    </row>
    <row r="18">
      <c r="A18" s="0" t="inlineStr">
        <is>
          <t xml:space="preserve">QA-REMOTE-017</t>
        </is>
      </c>
      <c r="B18" s="15" t="inlineStr">
        <is>
          <t xml:space="preserve">PASS</t>
        </is>
      </c>
      <c r="C18" s="0" t="inlineStr">
        <is>
          <t xml:space="preserve">registered LLCR/PLCR rates</t>
        </is>
      </c>
      <c r="D18" s="0" t="inlineStr">
        <is>
          <t xml:space="preserve">Coverage discount rates come from the discount-rate register</t>
        </is>
      </c>
    </row>
    <row r="19">
      <c r="A19" s="0" t="inlineStr">
        <is>
          <t xml:space="preserve">QA-REMOTE-018</t>
        </is>
      </c>
      <c r="B19" s="15" t="inlineStr">
        <is>
          <t xml:space="preserve">PASS</t>
        </is>
      </c>
      <c r="C19" s="0" t="inlineStr">
        <is>
          <t xml:space="preserve">DSO minimum annual CFADS &lt;= base</t>
        </is>
      </c>
      <c r="D19" s="0" t="inlineStr">
        <is>
          <t xml:space="preserve">Working-capital timing downside is tested at annual grain</t>
        </is>
      </c>
    </row>
    <row r="20">
      <c r="A20" s="0" t="inlineStr">
        <is>
          <t xml:space="preserve">QA-REMOTE-019</t>
        </is>
      </c>
      <c r="B20" s="15" t="inlineStr">
        <is>
          <t xml:space="preserve">PASS</t>
        </is>
      </c>
      <c r="C20" s="0" t="inlineStr">
        <is>
          <t xml:space="preserve">20 CAPEX/VAT/IDC schedules reconcile</t>
        </is>
      </c>
      <c r="D20" s="0" t="inlineStr">
        <is>
          <t xml:space="preserve">Bottom-up construction, VAT and capitalised IDC tie to total uses</t>
        </is>
      </c>
    </row>
    <row r="21">
      <c r="A21" s="0" t="inlineStr">
        <is>
          <t xml:space="preserve">QA-REMOTE-020</t>
        </is>
      </c>
      <c r="B21" s="15" t="inlineStr">
        <is>
          <t xml:space="preserve">PASS</t>
        </is>
      </c>
      <c r="C21" s="0" t="inlineStr">
        <is>
          <t xml:space="preserve">year-zero full-equity no-debt check</t>
        </is>
      </c>
      <c r="D21" s="0" t="inlineStr">
        <is>
          <t xml:space="preserve">Cash-flow construction pass reconciles before debt sizing</t>
        </is>
      </c>
    </row>
  </sheetData>
  <autoFilter ref="A1:D21"/>
  <pageMargins left="0.35" right="0.35" top="0.5" bottom="0.5" header="0.2" footer="0.2"/>
</worksheet>
</file>

<file path=docProps/app.xml><?xml version="1.0" encoding="utf-8"?>
<Properties xmlns="http://schemas.openxmlformats.org/officeDocument/2006/extended-properties">
  <Application>Microsoft Excel compatible OOXML</Application>
</Properties>
</file>

<file path=docProps/core.xml><?xml version="1.0" encoding="utf-8"?>
<cp:coreProperties xmlns:cp="http://schemas.openxmlformats.org/package/2006/metadata/core-properties" xmlns:dc="http://purl.org/dc/elements/1.1/">
  <dc:title>VietGreen C&amp;I Solar Project Finance — Recruiter Model</dc:title>
  <dc:subject>Formula-driven Project Finance workbook</dc:subject>
  <dc:creator>VietGreen recruiter workbook builder</dc:creator>
</cp:coreProperties>
</file>